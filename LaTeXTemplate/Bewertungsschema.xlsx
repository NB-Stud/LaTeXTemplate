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arlm\Documents\LaTeXTemplate\LaTeXTemplate\LaTeXTemplate\"/>
    </mc:Choice>
  </mc:AlternateContent>
  <xr:revisionPtr revIDLastSave="0" documentId="13_ncr:1_{63BBE76F-30D7-4ABD-8208-A7C5CD9AC1E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port" sheetId="2" r:id="rId1"/>
    <sheet name="Formalie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2" l="1"/>
  <c r="E118" i="2"/>
  <c r="E119" i="2" s="1"/>
  <c r="E110" i="2"/>
  <c r="E111" i="2" s="1"/>
  <c r="F111" i="2"/>
  <c r="E185" i="2"/>
  <c r="E173" i="2"/>
  <c r="E172" i="2"/>
  <c r="E184" i="2" s="1"/>
  <c r="F171" i="2"/>
  <c r="F183" i="2" s="1"/>
  <c r="C171" i="2"/>
  <c r="C183" i="2" s="1"/>
  <c r="A163" i="2"/>
  <c r="E160" i="2"/>
  <c r="F84" i="2"/>
  <c r="E83" i="2"/>
  <c r="E84" i="2" s="1"/>
  <c r="F103" i="2"/>
  <c r="E102" i="2"/>
  <c r="E103" i="2" s="1"/>
  <c r="F382" i="2"/>
  <c r="E381" i="2"/>
  <c r="E382" i="2" s="1"/>
  <c r="E337" i="2"/>
  <c r="E344" i="2"/>
  <c r="F345" i="2"/>
  <c r="E326" i="2"/>
  <c r="F199" i="2"/>
  <c r="E186" i="2" l="1"/>
  <c r="F281" i="2"/>
  <c r="E280" i="2"/>
  <c r="E281" i="2" s="1"/>
  <c r="E147" i="2"/>
  <c r="A175" i="2"/>
  <c r="F163" i="2"/>
  <c r="F164" i="2"/>
  <c r="F176" i="2" s="1"/>
  <c r="F165" i="2"/>
  <c r="F177" i="2" s="1"/>
  <c r="F166" i="2"/>
  <c r="F178" i="2" s="1"/>
  <c r="F167" i="2"/>
  <c r="F179" i="2" s="1"/>
  <c r="F168" i="2"/>
  <c r="F180" i="2" s="1"/>
  <c r="F169" i="2"/>
  <c r="F181" i="2" s="1"/>
  <c r="F170" i="2"/>
  <c r="F182" i="2" s="1"/>
  <c r="F172" i="2"/>
  <c r="F184" i="2" s="1"/>
  <c r="C163" i="2"/>
  <c r="C175" i="2" s="1"/>
  <c r="C164" i="2"/>
  <c r="C176" i="2" s="1"/>
  <c r="C165" i="2"/>
  <c r="C177" i="2" s="1"/>
  <c r="C166" i="2"/>
  <c r="C178" i="2" s="1"/>
  <c r="C167" i="2"/>
  <c r="C179" i="2" s="1"/>
  <c r="C168" i="2"/>
  <c r="C180" i="2" s="1"/>
  <c r="C169" i="2"/>
  <c r="C181" i="2" s="1"/>
  <c r="C170" i="2"/>
  <c r="C182" i="2" s="1"/>
  <c r="C172" i="2"/>
  <c r="C184" i="2" s="1"/>
  <c r="A164" i="2"/>
  <c r="A176" i="2" s="1"/>
  <c r="F175" i="2" l="1"/>
  <c r="F272" i="2"/>
  <c r="E292" i="2"/>
  <c r="E293" i="2" s="1"/>
  <c r="F293" i="2"/>
  <c r="F314" i="2"/>
  <c r="E327" i="2"/>
  <c r="F327" i="2"/>
  <c r="E94" i="2" l="1"/>
  <c r="E95" i="2" s="1"/>
  <c r="E45" i="2"/>
  <c r="F370" i="2" l="1"/>
  <c r="F364" i="2" l="1"/>
  <c r="E363" i="2"/>
  <c r="E354" i="2"/>
  <c r="F354" i="2"/>
  <c r="F299" i="2"/>
  <c r="F251" i="2"/>
  <c r="A65" i="2"/>
  <c r="E250" i="2"/>
  <c r="E251" i="2" s="1"/>
  <c r="E364" i="2" l="1"/>
  <c r="E369" i="2" s="1"/>
  <c r="E370" i="2" s="1"/>
  <c r="F73" i="2"/>
  <c r="E72" i="2"/>
  <c r="E73" i="2" s="1"/>
  <c r="F95" i="2"/>
  <c r="E198" i="2"/>
  <c r="E199" i="2" s="1"/>
  <c r="F186" i="2"/>
  <c r="F174" i="2" l="1"/>
  <c r="E174" i="2"/>
  <c r="F161" i="2"/>
  <c r="E161" i="2"/>
  <c r="F221" i="2"/>
  <c r="E220" i="2"/>
  <c r="E221" i="2" s="1"/>
  <c r="F230" i="2"/>
  <c r="E229" i="2"/>
  <c r="E230" i="2" s="1"/>
  <c r="E298" i="2"/>
  <c r="E299" i="2" s="1"/>
  <c r="F63" i="2"/>
  <c r="E62" i="2"/>
  <c r="E63" i="2" s="1"/>
  <c r="F46" i="2" l="1"/>
  <c r="E46" i="2"/>
  <c r="E271" i="2"/>
  <c r="E148" i="2"/>
  <c r="F211" i="2"/>
  <c r="E210" i="2"/>
  <c r="E211" i="2" s="1"/>
  <c r="E272" i="2" l="1"/>
  <c r="F397" i="2"/>
  <c r="F398" i="2" s="1"/>
  <c r="F399" i="2" s="1"/>
  <c r="F400" i="2" s="1"/>
  <c r="F401" i="2" s="1"/>
  <c r="F402" i="2" s="1"/>
  <c r="F403" i="2" s="1"/>
  <c r="F404" i="2" s="1"/>
  <c r="E345" i="2" l="1"/>
  <c r="E338" i="2"/>
  <c r="E135" i="2"/>
  <c r="E136" i="2" s="1"/>
  <c r="E129" i="2"/>
  <c r="E130" i="2" s="1"/>
  <c r="E313" i="2" l="1"/>
  <c r="E314" i="2" s="1"/>
  <c r="E387" i="2" s="1"/>
  <c r="F338" i="2"/>
  <c r="F136" i="2" l="1"/>
  <c r="F130" i="2"/>
  <c r="F387" i="2" l="1"/>
  <c r="H389" i="2" l="1"/>
  <c r="H392" i="2"/>
  <c r="H391" i="2"/>
  <c r="H387" i="2"/>
  <c r="H388" i="2"/>
  <c r="H39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Elmar Wings</author>
  </authors>
  <commentList>
    <comment ref="B14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main page
descriptions of the functions
descriptions of the parameters
</t>
        </r>
      </text>
    </comment>
    <comment ref="B15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in all possible files:
- py
- tex
-bib
- ...</t>
        </r>
      </text>
    </comment>
    <comment ref="B34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- \newline
- \\
- free lines
- no references to figures,…
 \newpage
- not using lstlisting/listinout
- not using \FILE,\PYTHON
- no headers
- ...</t>
        </r>
      </text>
    </comment>
  </commentList>
</comments>
</file>

<file path=xl/sharedStrings.xml><?xml version="1.0" encoding="utf-8"?>
<sst xmlns="http://schemas.openxmlformats.org/spreadsheetml/2006/main" count="462" uniqueCount="299">
  <si>
    <t>LaTeX</t>
  </si>
  <si>
    <t>Software Bill of Materials</t>
  </si>
  <si>
    <t>Installation</t>
  </si>
  <si>
    <t>Name</t>
  </si>
  <si>
    <t>github Nickname</t>
  </si>
  <si>
    <t>Semester:</t>
  </si>
  <si>
    <t>CPs:</t>
  </si>
  <si>
    <t>Hardware</t>
  </si>
  <si>
    <t>Tests</t>
  </si>
  <si>
    <t>Troubleshooting</t>
  </si>
  <si>
    <t>author.xlsx</t>
  </si>
  <si>
    <t>filenames</t>
  </si>
  <si>
    <t>not short, not long</t>
  </si>
  <si>
    <t>only letters, no blanks,…</t>
  </si>
  <si>
    <t>plausible, not 1.*,…</t>
  </si>
  <si>
    <t>file headers</t>
  </si>
  <si>
    <t>author</t>
  </si>
  <si>
    <t>project</t>
  </si>
  <si>
    <t>filename</t>
  </si>
  <si>
    <t>short description</t>
  </si>
  <si>
    <t>project's structure</t>
  </si>
  <si>
    <t>images</t>
  </si>
  <si>
    <t>labelled</t>
  </si>
  <si>
    <t>ref</t>
  </si>
  <si>
    <t>readable latex code</t>
  </si>
  <si>
    <t>indents</t>
  </si>
  <si>
    <t>empty lines</t>
  </si>
  <si>
    <t>header</t>
  </si>
  <si>
    <t>Version</t>
  </si>
  <si>
    <t>bad LaTeX code</t>
  </si>
  <si>
    <t>n.b.</t>
  </si>
  <si>
    <t>Additional tasks</t>
  </si>
  <si>
    <t>Part Application Deployment</t>
  </si>
  <si>
    <t>Poster</t>
  </si>
  <si>
    <t xml:space="preserve"> </t>
  </si>
  <si>
    <t>using tikz</t>
  </si>
  <si>
    <t>key words - list of all keywords</t>
  </si>
  <si>
    <t>HARDWARE</t>
  </si>
  <si>
    <t>Kursarbeit Automatisierungstechnik</t>
  </si>
  <si>
    <t>Matrikelnummer</t>
  </si>
  <si>
    <t>Vorname</t>
  </si>
  <si>
    <t>SoSe 2025</t>
  </si>
  <si>
    <t>Automatisierungstechnik</t>
  </si>
  <si>
    <t>Maschinenbau und Design</t>
  </si>
  <si>
    <t>Arduino</t>
  </si>
  <si>
    <t>Delighters</t>
  </si>
  <si>
    <t>Dieser Bereich kann nicht auf eine Person übertragen werden.</t>
  </si>
  <si>
    <t>E-Mail-Adresse</t>
  </si>
  <si>
    <t>Gruppenmitglieder</t>
  </si>
  <si>
    <t>Beschreibung des Problems</t>
  </si>
  <si>
    <t>readme.md</t>
  </si>
  <si>
    <t>md-Datei</t>
  </si>
  <si>
    <t>Schnelleinstieg</t>
  </si>
  <si>
    <t>Eigene Bilder</t>
  </si>
  <si>
    <t>Darstellung</t>
  </si>
  <si>
    <t>Bedienungsanleitung</t>
  </si>
  <si>
    <t>Projektmanagement</t>
  </si>
  <si>
    <t>Inhalt</t>
  </si>
  <si>
    <t>Hauptfunktion</t>
  </si>
  <si>
    <t>Erste Schritte</t>
  </si>
  <si>
    <t>Sketch der Benutzerschnittstelle</t>
  </si>
  <si>
    <t>Hilfe</t>
  </si>
  <si>
    <t>Beschreinbung der einzelnen Funktionen</t>
  </si>
  <si>
    <t>Wartung</t>
  </si>
  <si>
    <t>Spezifikation</t>
  </si>
  <si>
    <t>Foto des laufenden Systems</t>
  </si>
  <si>
    <t>Alle Diagramme, Skizzen, Bilder mit tikz (außer Titelfoto), minimal 5</t>
  </si>
  <si>
    <t>Unabhängigkeit der Interna</t>
  </si>
  <si>
    <t>Formalien</t>
  </si>
  <si>
    <t>Präsentation der Literatur</t>
  </si>
  <si>
    <t>Literatur</t>
  </si>
  <si>
    <t>Bewertung</t>
  </si>
  <si>
    <t>Name des Moduls</t>
  </si>
  <si>
    <t>Projektende</t>
  </si>
  <si>
    <t>Projektstart</t>
  </si>
  <si>
    <t>Studiengang</t>
  </si>
  <si>
    <t>Kurzbeschreibung</t>
  </si>
  <si>
    <t>Projektname</t>
  </si>
  <si>
    <t>Vollständigkeit</t>
  </si>
  <si>
    <t>Relevanz</t>
  </si>
  <si>
    <t>Qualität</t>
  </si>
  <si>
    <t>Präsentation</t>
  </si>
  <si>
    <t>Beschreibung</t>
  </si>
  <si>
    <t>bib-Datei</t>
  </si>
  <si>
    <t>Korrekter Dateiname "MyLiterature.bib"</t>
  </si>
  <si>
    <t>Korrekte Typen</t>
  </si>
  <si>
    <t xml:space="preserve">Alle Felder </t>
  </si>
  <si>
    <t>Sortiert (abc)</t>
  </si>
  <si>
    <t>Korrekter Label "author:year"</t>
  </si>
  <si>
    <t>Lesbarkeit der bib-Datei, z.B. Einrückungen</t>
  </si>
  <si>
    <t>Leerzeilen</t>
  </si>
  <si>
    <t>Formalitäten</t>
  </si>
  <si>
    <t>Montageanleitung</t>
  </si>
  <si>
    <t>Idee</t>
  </si>
  <si>
    <t>Dateistruktur</t>
  </si>
  <si>
    <t>Bilder</t>
  </si>
  <si>
    <t>Dateien</t>
  </si>
  <si>
    <t>Hinweise zur Fertigung</t>
  </si>
  <si>
    <t>Demontageanleitung</t>
  </si>
  <si>
    <t>LaTeX-Projekt</t>
  </si>
  <si>
    <t>LaTex-Projekt</t>
  </si>
  <si>
    <t>Hinweise</t>
  </si>
  <si>
    <t>max 20% sind Bilder</t>
  </si>
  <si>
    <t>Problembeschreibung</t>
  </si>
  <si>
    <t>Herausforderungen</t>
  </si>
  <si>
    <t>Lösungen</t>
  </si>
  <si>
    <t>Ergebnisse</t>
  </si>
  <si>
    <t>Entwickler- und Service-Dokumentation</t>
  </si>
  <si>
    <t>Einleitung</t>
  </si>
  <si>
    <t>Keine Phrasen</t>
  </si>
  <si>
    <t>Herausforderungen mit Literatur</t>
  </si>
  <si>
    <t>Beschreibung der Struktur des Dokuments</t>
  </si>
  <si>
    <t>Anwendung</t>
  </si>
  <si>
    <t>Bereich "Domänwissen"</t>
  </si>
  <si>
    <t>Beschreibung der Anwendung</t>
  </si>
  <si>
    <t>Beschreibung des Domänwissens</t>
  </si>
  <si>
    <t>Beschreibiung des Problems</t>
  </si>
  <si>
    <t>Hardware-Beschreibung</t>
  </si>
  <si>
    <t>Hinweis: Jede Komponente</t>
  </si>
  <si>
    <t>Einschränkungen/Einsatzbereich</t>
  </si>
  <si>
    <t xml:space="preserve">Dimension </t>
  </si>
  <si>
    <t>OS/Software Interface/Protokolle</t>
  </si>
  <si>
    <t>Daten</t>
  </si>
  <si>
    <t>Strukturen, Typen, Anzahl,…</t>
  </si>
  <si>
    <t>Code mit einfachen Beispielen</t>
  </si>
  <si>
    <t>z.B. Kamera, IMU, SPI</t>
  </si>
  <si>
    <t>Allgemeine Beschreibung des Sensors</t>
  </si>
  <si>
    <t>Beschreibung des spezifischen Sensors</t>
  </si>
  <si>
    <t>Bibliothek</t>
  </si>
  <si>
    <t>Kalibrierung</t>
  </si>
  <si>
    <t>Einfaches Beispiel mit Code</t>
  </si>
  <si>
    <t>Einfache Anwendung mit code</t>
  </si>
  <si>
    <t>Weiterführende Literatur</t>
  </si>
  <si>
    <t>Verwendung des Templates</t>
  </si>
  <si>
    <t>Domänwissen Sensor/Aktor</t>
  </si>
  <si>
    <t>Komplettes System</t>
  </si>
  <si>
    <t>Design/Aufbau</t>
  </si>
  <si>
    <t>Hardware-Schnittstellen</t>
  </si>
  <si>
    <t>Eigenschaften</t>
  </si>
  <si>
    <t>OS/Software Schnittstellen/Protokolle</t>
  </si>
  <si>
    <t>Konfiguration</t>
  </si>
  <si>
    <t>Abmaße</t>
  </si>
  <si>
    <t>Schlussfolgerung</t>
  </si>
  <si>
    <t>Mindmap</t>
  </si>
  <si>
    <t>Xmind</t>
  </si>
  <si>
    <t>Geeignete Begriffe</t>
  </si>
  <si>
    <t>Verwendung der Vorlage</t>
  </si>
  <si>
    <t>Haftungsübernahme</t>
  </si>
  <si>
    <t>Ausgedruckt</t>
  </si>
  <si>
    <t>Korrekt</t>
  </si>
  <si>
    <t>Vollständigkeit, insbeosndere der Materialliste</t>
  </si>
  <si>
    <t>Domänwissen Algorithmus</t>
  </si>
  <si>
    <t>Algorithmus</t>
  </si>
  <si>
    <t>Anwendungen</t>
  </si>
  <si>
    <t>Voraussetzungen</t>
  </si>
  <si>
    <t>Eingangsdaten</t>
  </si>
  <si>
    <t>Ausgangsdaten</t>
  </si>
  <si>
    <t>Beispielprogramm mit Code</t>
  </si>
  <si>
    <t>Entwicklungsumgebung</t>
  </si>
  <si>
    <t>Programm "Hello World"</t>
  </si>
  <si>
    <t>erste Schritte; Beschreibung der Benutzerschnittstelle</t>
  </si>
  <si>
    <t>Entwicklungsdokumentation</t>
  </si>
  <si>
    <t>Struktur</t>
  </si>
  <si>
    <t>Flussdiagramme, hier ist nicht Code gemeint</t>
  </si>
  <si>
    <t>Notationen</t>
  </si>
  <si>
    <t>Programm</t>
  </si>
  <si>
    <t>Struktur/Module</t>
  </si>
  <si>
    <t>Parameterbehandlung</t>
  </si>
  <si>
    <t>Fehlerbehandlung</t>
  </si>
  <si>
    <t>Verwaltung der Meldungen</t>
  </si>
  <si>
    <t>Namen</t>
  </si>
  <si>
    <t>Verzeichnisse</t>
  </si>
  <si>
    <t>Module</t>
  </si>
  <si>
    <t>Funktionen</t>
  </si>
  <si>
    <t>Variablen</t>
  </si>
  <si>
    <t>Lesbarkeit</t>
  </si>
  <si>
    <t>Funktionalität</t>
  </si>
  <si>
    <t>Idee/Struktur</t>
  </si>
  <si>
    <t>z.B. nRF Connect</t>
  </si>
  <si>
    <t>Test des kompletten Systems</t>
  </si>
  <si>
    <t>Test aller Funktionen des Systems</t>
  </si>
  <si>
    <t>Test der Teilfunktionen</t>
  </si>
  <si>
    <t>Test der Software-Module</t>
  </si>
  <si>
    <t>Test der Klassen</t>
  </si>
  <si>
    <t>Test der Funktionen</t>
  </si>
  <si>
    <t>Automatisierung der Tests</t>
  </si>
  <si>
    <t>Testprotokolle</t>
  </si>
  <si>
    <t>Anhang</t>
  </si>
  <si>
    <t>Bill of Materials</t>
  </si>
  <si>
    <t>Materialliste</t>
  </si>
  <si>
    <t>Link</t>
  </si>
  <si>
    <t>Preis</t>
  </si>
  <si>
    <t>Werkzeuge</t>
  </si>
  <si>
    <t>Allgemeine Aspekte</t>
  </si>
  <si>
    <t>Denken in Komponenten Module</t>
  </si>
  <si>
    <t>Adäquate Darstellung</t>
  </si>
  <si>
    <t>Umfang</t>
  </si>
  <si>
    <t>Alle Aspekte</t>
  </si>
  <si>
    <t>Eigene</t>
  </si>
  <si>
    <t>Quaität</t>
  </si>
  <si>
    <t>Genügend</t>
  </si>
  <si>
    <t>Referenziert</t>
  </si>
  <si>
    <t>Vorhande Dokumentation</t>
  </si>
  <si>
    <t>Verwendet</t>
  </si>
  <si>
    <t>Gleiche Notation</t>
  </si>
  <si>
    <t>Ergänzungen</t>
  </si>
  <si>
    <t>Gleiche Struktur</t>
  </si>
  <si>
    <t>Verbesserungen</t>
  </si>
  <si>
    <t>Kleine Änderungen</t>
  </si>
  <si>
    <t>Liste der kleineren Änderungen</t>
  </si>
  <si>
    <t>Größere Änderungen</t>
  </si>
  <si>
    <t>Dokumentation der größeren Änderiungen</t>
  </si>
  <si>
    <t>Verzeichnisstruktur</t>
  </si>
  <si>
    <t>Beschreibung der Verzeichnisse</t>
  </si>
  <si>
    <t>Links zu den Dateien</t>
  </si>
  <si>
    <t>Beschreibung der Dateien</t>
  </si>
  <si>
    <t>Links zu den Verzeichnissen</t>
  </si>
  <si>
    <t>Dateinamen</t>
  </si>
  <si>
    <t>Datei-Header</t>
  </si>
  <si>
    <t>nicht zu kurz, nicht zu lang</t>
  </si>
  <si>
    <t>nur Buchstaben A-Z, keine Frei- oder Sonderzeichen</t>
  </si>
  <si>
    <t>Plausibel, nicht 1.*,…</t>
  </si>
  <si>
    <t>Autor</t>
  </si>
  <si>
    <t>Projekt</t>
  </si>
  <si>
    <t>Dateiname</t>
  </si>
  <si>
    <t>Kurze Beschreibung</t>
  </si>
  <si>
    <t>Abhängigkeiten</t>
  </si>
  <si>
    <t>z.B. ino-, tex-Dateien</t>
  </si>
  <si>
    <t>Präsentation der Ergebnisse</t>
  </si>
  <si>
    <t>eigene Bilder mit tikz</t>
  </si>
  <si>
    <t>Beschfreibung der Anwendung</t>
  </si>
  <si>
    <t>eigene Lösungen</t>
  </si>
  <si>
    <t>HTML-Software-Dokumentation</t>
  </si>
  <si>
    <t>Software-Dokumentation</t>
  </si>
  <si>
    <t xml:space="preserve"> mit Doxygen</t>
  </si>
  <si>
    <t>Seite "main page"</t>
  </si>
  <si>
    <t>Parameter</t>
  </si>
  <si>
    <t>Person 1</t>
  </si>
  <si>
    <t>Person 2</t>
  </si>
  <si>
    <t>Person 3</t>
  </si>
  <si>
    <t>Person 4</t>
  </si>
  <si>
    <t>Person 5</t>
  </si>
  <si>
    <t>Alle Personen</t>
  </si>
  <si>
    <t>Teil "Anwendungsentwicklung"</t>
  </si>
  <si>
    <t>Prozent</t>
  </si>
  <si>
    <t>Note</t>
  </si>
  <si>
    <t>Maimale Punktzahl</t>
  </si>
  <si>
    <t>Termingerecht</t>
  </si>
  <si>
    <t>keine Verwendung von tikz</t>
  </si>
  <si>
    <t>zu den Zitierungen keine pdf-Dateien gespeichert</t>
  </si>
  <si>
    <t>keine zitierungen</t>
  </si>
  <si>
    <t>Vollständigkeit der Dateien</t>
  </si>
  <si>
    <t>Vollständigkeit vom readme.md</t>
  </si>
  <si>
    <t>Author.xlsx</t>
  </si>
  <si>
    <t>Websiten nicht als pdf-Datei gespeichert</t>
  </si>
  <si>
    <t>dumme/seltsame/sinnlose Dateinamen</t>
  </si>
  <si>
    <t>Keine Verwendung von Doxygen</t>
  </si>
  <si>
    <t>Keine Header in den Dateien</t>
  </si>
  <si>
    <t>Ignoranz zu den Templates und der gegeben Struktur</t>
  </si>
  <si>
    <t>Keine bib-Datei</t>
  </si>
  <si>
    <t>Fehler in der bib-Datei</t>
  </si>
  <si>
    <t>Allgemeine Beschreibung der einzelnen Komponente</t>
  </si>
  <si>
    <t>Beschreibung der spezifischen Komponente</t>
  </si>
  <si>
    <t>Einschränkungen, to do's</t>
  </si>
  <si>
    <t>Domänen Werkzeuge</t>
  </si>
  <si>
    <t>E-Mail</t>
  </si>
  <si>
    <t>Der Magic Faucet Fountain ist die Applikation unserer Kursarbeit. Dabei handelt es sich um einen intelligenten, mittels Smartphone steuerbaren Springbrunnen für den Indoor-Gebrauch. Der Magic Faucet Fountain erzeugt den Effekt, dass ein Wasserhahn auf einer fließenden Wassersäule schwebt.</t>
  </si>
  <si>
    <t>Magic Faucet Fountain</t>
  </si>
  <si>
    <t>Braams</t>
  </si>
  <si>
    <t>Nina</t>
  </si>
  <si>
    <t>Kornichenkova</t>
  </si>
  <si>
    <t>Valeriia</t>
  </si>
  <si>
    <t>Yüce</t>
  </si>
  <si>
    <t>Asena</t>
  </si>
  <si>
    <t>Neumann</t>
  </si>
  <si>
    <t>Sven</t>
  </si>
  <si>
    <t>Maschke</t>
  </si>
  <si>
    <t>Carl Lewis</t>
  </si>
  <si>
    <t>DejaVure</t>
  </si>
  <si>
    <t>carl.lewis.maschke@stud.hs-emden-leer.de</t>
  </si>
  <si>
    <t>sven.neumann@stud.hs-emden-leer.de</t>
  </si>
  <si>
    <t>asena.yuece@stud.hs-emden-leer.de</t>
  </si>
  <si>
    <t>valeria.kornichenkova@stud.hs-emden-leer.de</t>
  </si>
  <si>
    <t>nina.braams@stud.hs-emden-leer.de</t>
  </si>
  <si>
    <t>Github-Projekt:</t>
  </si>
  <si>
    <t>Github-Magic-Faucet-Fountain</t>
  </si>
  <si>
    <t>Valeriia679</t>
  </si>
  <si>
    <t>Bluetooth Modul HC05</t>
  </si>
  <si>
    <t>MOSFET Beschreibung Hardware</t>
  </si>
  <si>
    <t>CAD Modelle als extra Dateien</t>
  </si>
  <si>
    <t>asenaycce</t>
  </si>
  <si>
    <t>Sven586</t>
  </si>
  <si>
    <t>NB-Stud</t>
  </si>
  <si>
    <t>7 eigene tikz-Zeichnungen in der Demontageanleitung</t>
  </si>
  <si>
    <t>10 eigene tikz Zeichnungen in Montageanleitung</t>
  </si>
  <si>
    <t>Autoren:</t>
  </si>
  <si>
    <t>Standfuß für Pumpe als Verbesserung, CAD und Gcode zusätzlich</t>
  </si>
  <si>
    <t>GCode als extra Dateien</t>
  </si>
  <si>
    <t>Präsentation aller verwendeter Bücher in einer Beamer-Präsentation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</si>
</sst>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6DCE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7" fillId="0" borderId="0" xfId="0" applyFont="1"/>
    <xf numFmtId="10" fontId="0" fillId="0" borderId="0" xfId="0" applyNumberFormat="1"/>
    <xf numFmtId="9" fontId="0" fillId="0" borderId="0" xfId="0" applyNumberFormat="1"/>
    <xf numFmtId="0" fontId="8" fillId="6" borderId="0" xfId="0" applyFont="1" applyFill="1"/>
    <xf numFmtId="0" fontId="12" fillId="0" borderId="0" xfId="0" applyFont="1"/>
    <xf numFmtId="0" fontId="3" fillId="0" borderId="0" xfId="0" applyFont="1"/>
    <xf numFmtId="164" fontId="0" fillId="0" borderId="0" xfId="0" applyNumberFormat="1"/>
    <xf numFmtId="0" fontId="0" fillId="2" borderId="0" xfId="0" applyFill="1" applyAlignment="1">
      <alignment wrapText="1"/>
    </xf>
    <xf numFmtId="0" fontId="1" fillId="8" borderId="0" xfId="0" applyFont="1" applyFill="1"/>
    <xf numFmtId="0" fontId="2" fillId="2" borderId="0" xfId="0" applyFont="1" applyFill="1" applyAlignment="1">
      <alignment horizontal="left" vertical="center" wrapText="1"/>
    </xf>
    <xf numFmtId="0" fontId="1" fillId="9" borderId="0" xfId="0" applyFont="1" applyFill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1"/>
    <xf numFmtId="0" fontId="17" fillId="0" borderId="0" xfId="1" applyAlignment="1">
      <alignment horizontal="left"/>
    </xf>
    <xf numFmtId="0" fontId="0" fillId="0" borderId="0" xfId="0" applyAlignment="1">
      <alignment horizontal="left" vertical="top" wrapText="1"/>
    </xf>
    <xf numFmtId="0" fontId="13" fillId="7" borderId="0" xfId="0" applyFont="1" applyFill="1" applyAlignment="1">
      <alignment vertical="center" textRotation="255" wrapText="1"/>
    </xf>
    <xf numFmtId="0" fontId="15" fillId="7" borderId="0" xfId="0" applyFont="1" applyFill="1" applyAlignment="1">
      <alignment horizontal="center" vertical="center" textRotation="255"/>
    </xf>
    <xf numFmtId="0" fontId="14" fillId="7" borderId="0" xfId="0" applyFont="1" applyFill="1" applyAlignment="1">
      <alignment horizontal="center" vertical="center" textRotation="255"/>
    </xf>
    <xf numFmtId="0" fontId="1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6DC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ena.yuece@stud.hs-emden-leer.de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ven.neumann@stud.hs-emden-leer.de" TargetMode="External"/><Relationship Id="rId1" Type="http://schemas.openxmlformats.org/officeDocument/2006/relationships/hyperlink" Target="mailto:carl.lewis.maschke@stud.hs-emden-leer.de" TargetMode="External"/><Relationship Id="rId6" Type="http://schemas.openxmlformats.org/officeDocument/2006/relationships/hyperlink" Target="https://github.com/NB-Stud/LaTeXTemplate" TargetMode="External"/><Relationship Id="rId5" Type="http://schemas.openxmlformats.org/officeDocument/2006/relationships/hyperlink" Target="mailto:nina.braams@stud.hs-emden-leer.de" TargetMode="External"/><Relationship Id="rId4" Type="http://schemas.openxmlformats.org/officeDocument/2006/relationships/hyperlink" Target="mailto:valeria.kornichenkova@stud.hs-emden-leer.d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6"/>
  <sheetViews>
    <sheetView tabSelected="1" topLeftCell="A370" zoomScaleNormal="100" workbookViewId="0">
      <selection activeCell="B382" sqref="B382"/>
    </sheetView>
  </sheetViews>
  <sheetFormatPr baseColWidth="10" defaultRowHeight="14.25" x14ac:dyDescent="0.45"/>
  <cols>
    <col min="1" max="1" width="20" bestFit="1" customWidth="1"/>
    <col min="2" max="2" width="30.46484375" customWidth="1"/>
    <col min="3" max="3" width="28.46484375" bestFit="1" customWidth="1"/>
    <col min="4" max="4" width="22.1328125" customWidth="1"/>
    <col min="5" max="5" width="41.53125" customWidth="1"/>
  </cols>
  <sheetData>
    <row r="1" spans="1:8" ht="33.4" x14ac:dyDescent="1">
      <c r="A1" s="17" t="s">
        <v>38</v>
      </c>
      <c r="B1" s="17"/>
      <c r="C1" s="17"/>
    </row>
    <row r="3" spans="1:8" x14ac:dyDescent="0.45">
      <c r="A3" s="1" t="s">
        <v>77</v>
      </c>
      <c r="B3" t="s">
        <v>267</v>
      </c>
    </row>
    <row r="4" spans="1:8" x14ac:dyDescent="0.45">
      <c r="A4" s="1" t="s">
        <v>284</v>
      </c>
      <c r="B4" s="27" t="s">
        <v>285</v>
      </c>
    </row>
    <row r="6" spans="1:8" ht="12.75" customHeight="1" x14ac:dyDescent="0.45">
      <c r="A6" s="1" t="s">
        <v>76</v>
      </c>
    </row>
    <row r="7" spans="1:8" ht="63.75" customHeight="1" x14ac:dyDescent="0.45">
      <c r="A7" s="29" t="s">
        <v>266</v>
      </c>
      <c r="B7" s="29"/>
      <c r="C7" s="29"/>
    </row>
    <row r="9" spans="1:8" ht="28.5" x14ac:dyDescent="0.85">
      <c r="A9" s="2" t="s">
        <v>295</v>
      </c>
    </row>
    <row r="10" spans="1:8" x14ac:dyDescent="0.45">
      <c r="A10" s="25" t="s">
        <v>3</v>
      </c>
      <c r="B10" s="25" t="s">
        <v>40</v>
      </c>
      <c r="C10" s="25" t="s">
        <v>39</v>
      </c>
      <c r="D10" s="25" t="s">
        <v>4</v>
      </c>
      <c r="E10" s="25" t="s">
        <v>265</v>
      </c>
      <c r="F10" s="26"/>
    </row>
    <row r="11" spans="1:8" x14ac:dyDescent="0.45">
      <c r="A11" s="26" t="s">
        <v>268</v>
      </c>
      <c r="B11" s="26" t="s">
        <v>269</v>
      </c>
      <c r="C11" s="26">
        <v>7024847</v>
      </c>
      <c r="D11" s="26" t="s">
        <v>292</v>
      </c>
      <c r="E11" s="28" t="s">
        <v>283</v>
      </c>
      <c r="F11" s="26"/>
      <c r="G11" s="26"/>
      <c r="H11" s="26"/>
    </row>
    <row r="12" spans="1:8" x14ac:dyDescent="0.45">
      <c r="A12" s="26" t="s">
        <v>270</v>
      </c>
      <c r="B12" s="26" t="s">
        <v>271</v>
      </c>
      <c r="C12" s="26">
        <v>7024769</v>
      </c>
      <c r="D12" s="26" t="s">
        <v>286</v>
      </c>
      <c r="E12" s="28" t="s">
        <v>282</v>
      </c>
      <c r="F12" s="26"/>
      <c r="G12" s="26"/>
      <c r="H12" s="26"/>
    </row>
    <row r="13" spans="1:8" x14ac:dyDescent="0.45">
      <c r="A13" s="26" t="s">
        <v>272</v>
      </c>
      <c r="B13" s="26" t="s">
        <v>273</v>
      </c>
      <c r="C13" s="26">
        <v>7024749</v>
      </c>
      <c r="D13" s="26" t="s">
        <v>290</v>
      </c>
      <c r="E13" s="28" t="s">
        <v>281</v>
      </c>
      <c r="F13" s="26"/>
      <c r="G13" s="26"/>
      <c r="H13" s="26"/>
    </row>
    <row r="14" spans="1:8" x14ac:dyDescent="0.45">
      <c r="A14" s="26" t="s">
        <v>274</v>
      </c>
      <c r="B14" s="26" t="s">
        <v>275</v>
      </c>
      <c r="C14" s="26">
        <v>7025068</v>
      </c>
      <c r="D14" s="26" t="s">
        <v>291</v>
      </c>
      <c r="E14" s="28" t="s">
        <v>280</v>
      </c>
      <c r="F14" s="26"/>
      <c r="G14" s="26"/>
      <c r="H14" s="26"/>
    </row>
    <row r="15" spans="1:8" x14ac:dyDescent="0.45">
      <c r="A15" s="26" t="s">
        <v>276</v>
      </c>
      <c r="B15" s="26" t="s">
        <v>277</v>
      </c>
      <c r="C15" s="26">
        <v>7024640</v>
      </c>
      <c r="D15" s="26" t="s">
        <v>278</v>
      </c>
      <c r="E15" s="28" t="s">
        <v>279</v>
      </c>
      <c r="F15" s="26"/>
      <c r="G15" s="26"/>
      <c r="H15" s="26"/>
    </row>
    <row r="16" spans="1:8" x14ac:dyDescent="0.45">
      <c r="E16" s="3"/>
    </row>
    <row r="17" spans="1:6" x14ac:dyDescent="0.45">
      <c r="A17" s="1" t="s">
        <v>75</v>
      </c>
      <c r="B17" s="24" t="s">
        <v>43</v>
      </c>
      <c r="E17" s="3"/>
    </row>
    <row r="19" spans="1:6" x14ac:dyDescent="0.45">
      <c r="A19" s="1" t="s">
        <v>5</v>
      </c>
      <c r="B19" s="24" t="s">
        <v>41</v>
      </c>
    </row>
    <row r="21" spans="1:6" x14ac:dyDescent="0.45">
      <c r="A21" s="1" t="s">
        <v>74</v>
      </c>
      <c r="B21" s="4">
        <v>45727</v>
      </c>
    </row>
    <row r="22" spans="1:6" x14ac:dyDescent="0.45">
      <c r="A22" s="1" t="s">
        <v>73</v>
      </c>
      <c r="B22" s="23">
        <v>45831</v>
      </c>
    </row>
    <row r="24" spans="1:6" x14ac:dyDescent="0.45">
      <c r="A24" s="1" t="s">
        <v>72</v>
      </c>
      <c r="B24" s="24" t="s">
        <v>42</v>
      </c>
    </row>
    <row r="25" spans="1:6" x14ac:dyDescent="0.45">
      <c r="A25" s="1" t="s">
        <v>6</v>
      </c>
      <c r="B25">
        <v>5</v>
      </c>
    </row>
    <row r="28" spans="1:6" ht="23.25" x14ac:dyDescent="0.7">
      <c r="A28" s="6" t="s">
        <v>71</v>
      </c>
    </row>
    <row r="31" spans="1:6" ht="18" x14ac:dyDescent="0.55000000000000004">
      <c r="A31" s="5" t="s">
        <v>69</v>
      </c>
    </row>
    <row r="32" spans="1:6" x14ac:dyDescent="0.45">
      <c r="A32" s="7" t="s">
        <v>70</v>
      </c>
      <c r="B32" s="8" t="s">
        <v>99</v>
      </c>
      <c r="C32" s="8"/>
      <c r="D32" s="8"/>
      <c r="E32" s="8"/>
      <c r="F32" s="8">
        <v>10</v>
      </c>
    </row>
    <row r="33" spans="1:12" x14ac:dyDescent="0.45">
      <c r="A33" s="7"/>
      <c r="B33" s="8" t="s">
        <v>78</v>
      </c>
      <c r="C33" s="8"/>
      <c r="D33" s="8"/>
      <c r="E33" s="8"/>
      <c r="F33" s="8">
        <v>10</v>
      </c>
    </row>
    <row r="34" spans="1:12" x14ac:dyDescent="0.45">
      <c r="A34" s="8"/>
      <c r="B34" s="8" t="s">
        <v>80</v>
      </c>
      <c r="C34" s="8"/>
      <c r="D34" s="8"/>
      <c r="E34" s="8"/>
      <c r="F34" s="8">
        <v>10</v>
      </c>
    </row>
    <row r="35" spans="1:12" x14ac:dyDescent="0.45">
      <c r="A35" s="8"/>
      <c r="B35" s="8" t="s">
        <v>54</v>
      </c>
      <c r="C35" s="8"/>
      <c r="D35" s="8"/>
      <c r="E35" s="8"/>
      <c r="F35" s="8">
        <v>10</v>
      </c>
    </row>
    <row r="36" spans="1:12" x14ac:dyDescent="0.45">
      <c r="A36" s="8"/>
      <c r="B36" s="8" t="s">
        <v>82</v>
      </c>
      <c r="C36" s="8"/>
      <c r="D36" s="8"/>
      <c r="E36" s="8"/>
      <c r="F36" s="8">
        <v>10</v>
      </c>
    </row>
    <row r="37" spans="1:12" x14ac:dyDescent="0.45">
      <c r="A37" s="8"/>
      <c r="B37" s="8" t="s">
        <v>36</v>
      </c>
      <c r="C37" s="8"/>
      <c r="D37" s="8"/>
      <c r="E37" s="8"/>
      <c r="F37" s="8">
        <v>10</v>
      </c>
    </row>
    <row r="38" spans="1:12" x14ac:dyDescent="0.45">
      <c r="A38" s="7"/>
      <c r="B38" s="8" t="s">
        <v>83</v>
      </c>
      <c r="C38" s="8" t="s">
        <v>84</v>
      </c>
      <c r="D38" s="8"/>
      <c r="E38" s="8">
        <v>-30</v>
      </c>
      <c r="F38" s="8">
        <v>0</v>
      </c>
    </row>
    <row r="39" spans="1:12" x14ac:dyDescent="0.45">
      <c r="A39" s="7"/>
      <c r="B39" s="8"/>
      <c r="C39" s="8" t="s">
        <v>85</v>
      </c>
      <c r="D39" s="8"/>
      <c r="E39" s="8"/>
      <c r="F39" s="8">
        <v>10</v>
      </c>
    </row>
    <row r="40" spans="1:12" x14ac:dyDescent="0.45">
      <c r="A40" s="8"/>
      <c r="B40" s="8"/>
      <c r="C40" s="8" t="s">
        <v>86</v>
      </c>
      <c r="D40" s="8"/>
      <c r="E40" s="8"/>
      <c r="F40" s="8">
        <v>10</v>
      </c>
    </row>
    <row r="41" spans="1:12" x14ac:dyDescent="0.45">
      <c r="A41" s="8"/>
      <c r="B41" s="8"/>
      <c r="C41" s="8" t="s">
        <v>87</v>
      </c>
      <c r="D41" s="8"/>
      <c r="E41" s="8">
        <v>-30</v>
      </c>
      <c r="F41" s="8">
        <v>0</v>
      </c>
    </row>
    <row r="42" spans="1:12" x14ac:dyDescent="0.45">
      <c r="A42" s="8"/>
      <c r="B42" s="8"/>
      <c r="C42" s="8" t="s">
        <v>88</v>
      </c>
      <c r="D42" s="8"/>
      <c r="E42" s="8">
        <v>-30</v>
      </c>
      <c r="F42" s="8">
        <v>0</v>
      </c>
    </row>
    <row r="43" spans="1:12" x14ac:dyDescent="0.45">
      <c r="A43" s="8"/>
      <c r="B43" s="8"/>
      <c r="C43" s="8" t="s">
        <v>89</v>
      </c>
      <c r="D43" s="8"/>
      <c r="E43" s="8"/>
      <c r="F43" s="8">
        <v>5</v>
      </c>
    </row>
    <row r="44" spans="1:12" x14ac:dyDescent="0.45">
      <c r="A44" s="8"/>
      <c r="B44" s="8"/>
      <c r="C44" s="8" t="s">
        <v>90</v>
      </c>
      <c r="D44" s="8"/>
      <c r="E44" s="8"/>
      <c r="F44" s="8">
        <v>5</v>
      </c>
    </row>
    <row r="45" spans="1:12" x14ac:dyDescent="0.45">
      <c r="A45" s="8"/>
      <c r="B45" s="8"/>
      <c r="C45" s="8"/>
      <c r="D45" s="15" t="s">
        <v>68</v>
      </c>
      <c r="E45" s="15">
        <f>-SUM(E32:E44)</f>
        <v>90</v>
      </c>
      <c r="F45" s="8"/>
    </row>
    <row r="46" spans="1:12" x14ac:dyDescent="0.45">
      <c r="E46">
        <f>SUM(E32:E45)</f>
        <v>0</v>
      </c>
      <c r="F46">
        <f>SUM(F32:F44)</f>
        <v>90</v>
      </c>
    </row>
    <row r="48" spans="1:12" s="5" customFormat="1" ht="18" x14ac:dyDescent="0.55000000000000004">
      <c r="A48" s="5" t="s">
        <v>55</v>
      </c>
      <c r="K48"/>
      <c r="L48"/>
    </row>
    <row r="49" spans="1:13" x14ac:dyDescent="0.45">
      <c r="A49" s="7" t="s">
        <v>55</v>
      </c>
      <c r="B49" s="7" t="s">
        <v>56</v>
      </c>
      <c r="C49" s="8" t="s">
        <v>99</v>
      </c>
      <c r="D49" s="8"/>
      <c r="E49" s="8"/>
      <c r="F49" s="8">
        <v>10</v>
      </c>
      <c r="G49" s="30" t="s">
        <v>37</v>
      </c>
    </row>
    <row r="50" spans="1:13" x14ac:dyDescent="0.45">
      <c r="A50" s="7"/>
      <c r="B50" s="7" t="s">
        <v>57</v>
      </c>
      <c r="C50" s="8" t="s">
        <v>58</v>
      </c>
      <c r="D50" s="8"/>
      <c r="E50" s="8"/>
      <c r="F50" s="8">
        <v>5</v>
      </c>
      <c r="G50" s="30"/>
    </row>
    <row r="51" spans="1:13" x14ac:dyDescent="0.45">
      <c r="A51" s="7"/>
      <c r="B51" s="7"/>
      <c r="C51" s="8" t="s">
        <v>2</v>
      </c>
      <c r="D51" s="8"/>
      <c r="E51" s="8"/>
      <c r="F51" s="8">
        <v>5</v>
      </c>
      <c r="G51" s="30"/>
    </row>
    <row r="52" spans="1:13" x14ac:dyDescent="0.45">
      <c r="A52" s="7"/>
      <c r="B52" s="8"/>
      <c r="C52" s="8" t="s">
        <v>59</v>
      </c>
      <c r="D52" s="8"/>
      <c r="E52" s="8"/>
      <c r="F52" s="8">
        <v>5</v>
      </c>
      <c r="G52" s="30"/>
    </row>
    <row r="53" spans="1:13" x14ac:dyDescent="0.45">
      <c r="A53" s="7"/>
      <c r="B53" s="7"/>
      <c r="C53" s="8" t="s">
        <v>60</v>
      </c>
      <c r="D53" s="8"/>
      <c r="E53" s="8"/>
      <c r="F53" s="8">
        <v>10</v>
      </c>
      <c r="G53" s="30"/>
    </row>
    <row r="54" spans="1:13" x14ac:dyDescent="0.45">
      <c r="A54" s="8"/>
      <c r="B54" s="7"/>
      <c r="C54" s="8" t="s">
        <v>62</v>
      </c>
      <c r="D54" s="8"/>
      <c r="E54" s="8"/>
      <c r="F54" s="8">
        <v>25</v>
      </c>
      <c r="G54" s="30"/>
    </row>
    <row r="55" spans="1:13" x14ac:dyDescent="0.45">
      <c r="A55" s="7"/>
      <c r="B55" s="7"/>
      <c r="C55" s="8" t="s">
        <v>61</v>
      </c>
      <c r="D55" s="8"/>
      <c r="E55" s="8"/>
      <c r="F55" s="8">
        <v>5</v>
      </c>
      <c r="G55" s="30"/>
    </row>
    <row r="56" spans="1:13" x14ac:dyDescent="0.45">
      <c r="A56" s="7"/>
      <c r="B56" s="7"/>
      <c r="C56" s="8" t="s">
        <v>63</v>
      </c>
      <c r="D56" s="8"/>
      <c r="E56" s="8"/>
      <c r="F56" s="8">
        <v>5</v>
      </c>
      <c r="G56" s="30"/>
    </row>
    <row r="57" spans="1:13" x14ac:dyDescent="0.45">
      <c r="A57" s="7"/>
      <c r="B57" s="7"/>
      <c r="C57" s="8" t="s">
        <v>9</v>
      </c>
      <c r="D57" s="8"/>
      <c r="E57" s="8"/>
      <c r="F57" s="8">
        <v>10</v>
      </c>
      <c r="G57" s="30"/>
    </row>
    <row r="58" spans="1:13" x14ac:dyDescent="0.45">
      <c r="A58" s="7"/>
      <c r="B58" s="7"/>
      <c r="C58" s="8" t="s">
        <v>64</v>
      </c>
      <c r="D58" s="8"/>
      <c r="E58" s="8"/>
      <c r="F58" s="8">
        <v>5</v>
      </c>
      <c r="G58" s="30"/>
    </row>
    <row r="59" spans="1:13" x14ac:dyDescent="0.45">
      <c r="A59" s="7"/>
      <c r="B59" s="7" t="s">
        <v>68</v>
      </c>
      <c r="C59" s="8" t="s">
        <v>65</v>
      </c>
      <c r="D59" s="8"/>
      <c r="E59" s="8"/>
      <c r="F59" s="8">
        <v>5</v>
      </c>
      <c r="G59" s="30"/>
    </row>
    <row r="60" spans="1:13" x14ac:dyDescent="0.45">
      <c r="A60" s="7"/>
      <c r="B60" s="7"/>
      <c r="C60" s="8" t="s">
        <v>66</v>
      </c>
      <c r="D60" s="8"/>
      <c r="E60" s="8"/>
      <c r="F60" s="8">
        <v>20</v>
      </c>
      <c r="G60" s="30"/>
    </row>
    <row r="61" spans="1:13" x14ac:dyDescent="0.45">
      <c r="A61" s="7"/>
      <c r="B61" s="7"/>
      <c r="C61" s="8" t="s">
        <v>67</v>
      </c>
      <c r="D61" s="8"/>
      <c r="E61" s="8"/>
      <c r="F61" s="8">
        <v>10</v>
      </c>
      <c r="G61" s="30"/>
    </row>
    <row r="62" spans="1:13" x14ac:dyDescent="0.45">
      <c r="A62" s="7"/>
      <c r="B62" s="7"/>
      <c r="C62" s="8"/>
      <c r="D62" s="15" t="s">
        <v>68</v>
      </c>
      <c r="E62" s="15">
        <f>-SUM(E49:E61)</f>
        <v>0</v>
      </c>
      <c r="F62" s="8"/>
      <c r="G62" s="30"/>
    </row>
    <row r="63" spans="1:13" ht="18" x14ac:dyDescent="0.55000000000000004">
      <c r="A63" s="1"/>
      <c r="B63" s="1"/>
      <c r="E63">
        <f>SUM(E49:E62)</f>
        <v>0</v>
      </c>
      <c r="F63">
        <f>SUM(F49:F61)</f>
        <v>120</v>
      </c>
      <c r="L63" s="5"/>
      <c r="M63" s="5"/>
    </row>
    <row r="64" spans="1:13" s="5" customFormat="1" ht="18" x14ac:dyDescent="0.55000000000000004">
      <c r="A64" s="5" t="s">
        <v>92</v>
      </c>
      <c r="K64"/>
      <c r="L64"/>
    </row>
    <row r="65" spans="1:12" x14ac:dyDescent="0.45">
      <c r="A65" s="7" t="str">
        <f>$A$64</f>
        <v>Montageanleitung</v>
      </c>
      <c r="B65" s="7" t="s">
        <v>56</v>
      </c>
      <c r="C65" s="8" t="s">
        <v>99</v>
      </c>
      <c r="D65" s="8"/>
      <c r="E65" s="8"/>
      <c r="F65" s="8">
        <v>10</v>
      </c>
    </row>
    <row r="66" spans="1:12" x14ac:dyDescent="0.45">
      <c r="A66" s="7"/>
      <c r="B66" s="7" t="s">
        <v>57</v>
      </c>
      <c r="C66" s="8" t="s">
        <v>93</v>
      </c>
      <c r="D66" s="8"/>
      <c r="E66" s="8"/>
      <c r="F66" s="8">
        <v>5</v>
      </c>
    </row>
    <row r="67" spans="1:12" x14ac:dyDescent="0.45">
      <c r="A67" s="7"/>
      <c r="B67" s="7"/>
      <c r="C67" s="8" t="s">
        <v>94</v>
      </c>
      <c r="D67" s="8"/>
      <c r="E67" s="8"/>
      <c r="F67" s="8">
        <v>5</v>
      </c>
    </row>
    <row r="68" spans="1:12" x14ac:dyDescent="0.45">
      <c r="A68" s="7"/>
      <c r="B68" s="7"/>
      <c r="C68" s="8" t="s">
        <v>95</v>
      </c>
      <c r="D68" s="8"/>
      <c r="E68" s="8"/>
      <c r="F68" s="8">
        <v>25</v>
      </c>
    </row>
    <row r="69" spans="1:12" x14ac:dyDescent="0.45">
      <c r="A69" s="7"/>
      <c r="B69" s="7"/>
      <c r="C69" s="8" t="s">
        <v>96</v>
      </c>
      <c r="D69" s="8"/>
      <c r="E69" s="8"/>
      <c r="F69" s="8">
        <v>5</v>
      </c>
    </row>
    <row r="70" spans="1:12" x14ac:dyDescent="0.45">
      <c r="A70" s="7"/>
      <c r="B70" s="7"/>
      <c r="C70" s="8" t="s">
        <v>97</v>
      </c>
      <c r="D70" s="8"/>
      <c r="E70" s="8"/>
      <c r="F70" s="8">
        <v>30</v>
      </c>
    </row>
    <row r="71" spans="1:12" x14ac:dyDescent="0.45">
      <c r="A71" s="7"/>
      <c r="B71" s="7"/>
      <c r="C71" s="8" t="s">
        <v>82</v>
      </c>
      <c r="D71" s="8"/>
      <c r="E71" s="8"/>
      <c r="F71" s="8">
        <v>20</v>
      </c>
    </row>
    <row r="72" spans="1:12" x14ac:dyDescent="0.45">
      <c r="A72" s="7"/>
      <c r="B72" s="7"/>
      <c r="C72" s="8"/>
      <c r="D72" s="15" t="s">
        <v>68</v>
      </c>
      <c r="E72" s="15">
        <f>-SUM(E65:E71)</f>
        <v>0</v>
      </c>
      <c r="F72" s="8"/>
    </row>
    <row r="73" spans="1:12" x14ac:dyDescent="0.45">
      <c r="A73" s="1"/>
      <c r="B73" s="1"/>
      <c r="E73">
        <f>SUM(E65:E72)</f>
        <v>0</v>
      </c>
      <c r="F73">
        <f>SUM(F65:F71)</f>
        <v>100</v>
      </c>
    </row>
    <row r="74" spans="1:12" x14ac:dyDescent="0.45">
      <c r="A74" s="1"/>
    </row>
    <row r="75" spans="1:12" s="5" customFormat="1" ht="18" x14ac:dyDescent="0.55000000000000004">
      <c r="A75" s="5" t="s">
        <v>98</v>
      </c>
      <c r="K75"/>
      <c r="L75"/>
    </row>
    <row r="76" spans="1:12" x14ac:dyDescent="0.45">
      <c r="A76" s="7" t="s">
        <v>98</v>
      </c>
      <c r="B76" s="7" t="s">
        <v>56</v>
      </c>
      <c r="C76" s="8" t="s">
        <v>100</v>
      </c>
      <c r="D76" s="8"/>
      <c r="E76" s="8"/>
      <c r="F76" s="8">
        <v>10</v>
      </c>
    </row>
    <row r="77" spans="1:12" x14ac:dyDescent="0.45">
      <c r="A77" s="7"/>
      <c r="B77" s="7" t="s">
        <v>57</v>
      </c>
      <c r="C77" s="8" t="s">
        <v>93</v>
      </c>
      <c r="D77" s="8"/>
      <c r="E77" s="8"/>
      <c r="F77" s="8">
        <v>5</v>
      </c>
    </row>
    <row r="78" spans="1:12" x14ac:dyDescent="0.45">
      <c r="A78" s="7"/>
      <c r="B78" s="7"/>
      <c r="C78" s="8" t="s">
        <v>94</v>
      </c>
      <c r="D78" s="8"/>
      <c r="E78" s="8"/>
      <c r="F78" s="8">
        <v>5</v>
      </c>
    </row>
    <row r="79" spans="1:12" x14ac:dyDescent="0.45">
      <c r="A79" s="7"/>
      <c r="B79" s="7"/>
      <c r="C79" s="8" t="s">
        <v>95</v>
      </c>
      <c r="D79" s="8"/>
      <c r="E79" s="8"/>
      <c r="F79" s="8">
        <v>25</v>
      </c>
    </row>
    <row r="80" spans="1:12" x14ac:dyDescent="0.45">
      <c r="A80" s="7"/>
      <c r="B80" s="7"/>
      <c r="C80" s="8" t="s">
        <v>96</v>
      </c>
      <c r="D80" s="8"/>
      <c r="E80" s="8"/>
      <c r="F80" s="8">
        <v>5</v>
      </c>
    </row>
    <row r="81" spans="1:6" x14ac:dyDescent="0.45">
      <c r="A81" s="7"/>
      <c r="B81" s="7"/>
      <c r="C81" s="8" t="s">
        <v>101</v>
      </c>
      <c r="D81" s="8"/>
      <c r="E81" s="8"/>
      <c r="F81" s="8">
        <v>30</v>
      </c>
    </row>
    <row r="82" spans="1:6" x14ac:dyDescent="0.45">
      <c r="A82" s="7"/>
      <c r="B82" s="7"/>
      <c r="C82" s="8" t="s">
        <v>82</v>
      </c>
      <c r="D82" s="8"/>
      <c r="E82" s="8"/>
      <c r="F82" s="8">
        <v>20</v>
      </c>
    </row>
    <row r="83" spans="1:6" x14ac:dyDescent="0.45">
      <c r="A83" s="7"/>
      <c r="B83" s="7"/>
      <c r="C83" s="8"/>
      <c r="D83" s="15" t="s">
        <v>68</v>
      </c>
      <c r="E83" s="15">
        <f>-SUM(E76:E82)</f>
        <v>0</v>
      </c>
      <c r="F83" s="8"/>
    </row>
    <row r="84" spans="1:6" x14ac:dyDescent="0.45">
      <c r="A84" s="1"/>
      <c r="B84" s="1"/>
      <c r="E84">
        <f>SUM(E76:E83)</f>
        <v>0</v>
      </c>
      <c r="F84">
        <f>SUM(F76:F82)</f>
        <v>100</v>
      </c>
    </row>
    <row r="85" spans="1:6" x14ac:dyDescent="0.45">
      <c r="A85" s="1"/>
    </row>
    <row r="86" spans="1:6" ht="18" x14ac:dyDescent="0.55000000000000004">
      <c r="A86" s="5" t="s">
        <v>33</v>
      </c>
    </row>
    <row r="87" spans="1:6" x14ac:dyDescent="0.45">
      <c r="A87" s="7" t="s">
        <v>33</v>
      </c>
      <c r="B87" s="7" t="s">
        <v>56</v>
      </c>
      <c r="C87" s="8" t="s">
        <v>99</v>
      </c>
      <c r="D87" s="8"/>
      <c r="E87" s="8"/>
      <c r="F87" s="8">
        <v>10</v>
      </c>
    </row>
    <row r="88" spans="1:6" x14ac:dyDescent="0.45">
      <c r="A88" s="7"/>
      <c r="B88" s="8"/>
      <c r="C88" s="8" t="s">
        <v>102</v>
      </c>
      <c r="D88" s="8"/>
      <c r="E88" s="8"/>
      <c r="F88" s="8">
        <v>8</v>
      </c>
    </row>
    <row r="89" spans="1:6" x14ac:dyDescent="0.45">
      <c r="A89" s="7"/>
      <c r="B89" s="8"/>
      <c r="C89" s="8" t="s">
        <v>53</v>
      </c>
      <c r="D89" s="8"/>
      <c r="E89" s="8"/>
      <c r="F89" s="8">
        <v>10</v>
      </c>
    </row>
    <row r="90" spans="1:6" x14ac:dyDescent="0.45">
      <c r="A90" s="7"/>
      <c r="B90" s="7" t="s">
        <v>57</v>
      </c>
      <c r="C90" s="8" t="s">
        <v>103</v>
      </c>
      <c r="D90" s="8"/>
      <c r="E90" s="8"/>
      <c r="F90" s="8">
        <v>5</v>
      </c>
    </row>
    <row r="91" spans="1:6" x14ac:dyDescent="0.45">
      <c r="A91" s="7"/>
      <c r="B91" s="7"/>
      <c r="C91" s="8" t="s">
        <v>104</v>
      </c>
      <c r="D91" s="8"/>
      <c r="E91" s="8"/>
      <c r="F91" s="8">
        <v>5</v>
      </c>
    </row>
    <row r="92" spans="1:6" x14ac:dyDescent="0.45">
      <c r="A92" s="7"/>
      <c r="B92" s="7"/>
      <c r="C92" s="8" t="s">
        <v>105</v>
      </c>
      <c r="D92" s="8"/>
      <c r="E92" s="8"/>
      <c r="F92" s="8">
        <v>5</v>
      </c>
    </row>
    <row r="93" spans="1:6" x14ac:dyDescent="0.45">
      <c r="A93" s="7"/>
      <c r="B93" s="7"/>
      <c r="C93" s="8" t="s">
        <v>106</v>
      </c>
      <c r="D93" s="8"/>
      <c r="E93" s="8"/>
      <c r="F93" s="8">
        <v>7</v>
      </c>
    </row>
    <row r="94" spans="1:6" x14ac:dyDescent="0.45">
      <c r="A94" s="7"/>
      <c r="B94" s="7"/>
      <c r="C94" s="7"/>
      <c r="D94" s="15" t="s">
        <v>68</v>
      </c>
      <c r="E94" s="15">
        <f>-SUM(E87:E93)</f>
        <v>0</v>
      </c>
      <c r="F94" s="7"/>
    </row>
    <row r="95" spans="1:6" x14ac:dyDescent="0.45">
      <c r="A95" s="1"/>
      <c r="B95" s="1"/>
      <c r="E95">
        <f>SUM(E87:E94)</f>
        <v>0</v>
      </c>
      <c r="F95">
        <f>SUM(F87:F93)</f>
        <v>50</v>
      </c>
    </row>
    <row r="96" spans="1:6" x14ac:dyDescent="0.45">
      <c r="A96" s="1"/>
    </row>
    <row r="97" spans="1:6" ht="18" x14ac:dyDescent="0.55000000000000004">
      <c r="A97" s="5" t="s">
        <v>52</v>
      </c>
    </row>
    <row r="98" spans="1:6" x14ac:dyDescent="0.45">
      <c r="A98" s="7" t="s">
        <v>52</v>
      </c>
      <c r="B98" s="7" t="s">
        <v>56</v>
      </c>
      <c r="C98" s="8" t="s">
        <v>99</v>
      </c>
      <c r="D98" s="8"/>
      <c r="E98" s="8"/>
      <c r="F98" s="8">
        <v>10</v>
      </c>
    </row>
    <row r="99" spans="1:6" x14ac:dyDescent="0.45">
      <c r="A99" s="7"/>
      <c r="B99" s="8"/>
      <c r="C99" s="8" t="s">
        <v>53</v>
      </c>
      <c r="D99" s="8"/>
      <c r="E99" s="8"/>
      <c r="F99" s="8">
        <v>10</v>
      </c>
    </row>
    <row r="100" spans="1:6" x14ac:dyDescent="0.45">
      <c r="A100" s="7"/>
      <c r="B100" s="7" t="s">
        <v>57</v>
      </c>
      <c r="C100" s="8" t="s">
        <v>49</v>
      </c>
      <c r="D100" s="8"/>
      <c r="E100" s="8"/>
      <c r="F100" s="8">
        <v>10</v>
      </c>
    </row>
    <row r="101" spans="1:6" x14ac:dyDescent="0.45">
      <c r="A101" s="7"/>
      <c r="B101" s="7"/>
      <c r="C101" s="8" t="s">
        <v>54</v>
      </c>
      <c r="D101" s="8"/>
      <c r="E101" s="8"/>
      <c r="F101" s="8">
        <v>20</v>
      </c>
    </row>
    <row r="102" spans="1:6" x14ac:dyDescent="0.45">
      <c r="A102" s="7"/>
      <c r="B102" s="7"/>
      <c r="C102" s="7"/>
      <c r="D102" s="15" t="s">
        <v>68</v>
      </c>
      <c r="E102" s="15">
        <f>-SUM(E98:E101)</f>
        <v>0</v>
      </c>
      <c r="F102" s="7"/>
    </row>
    <row r="103" spans="1:6" x14ac:dyDescent="0.45">
      <c r="A103" s="1"/>
      <c r="B103" s="1"/>
      <c r="E103">
        <f>SUM(E98:E102)</f>
        <v>0</v>
      </c>
      <c r="F103">
        <f>SUM(F98:F101)</f>
        <v>50</v>
      </c>
    </row>
    <row r="104" spans="1:6" x14ac:dyDescent="0.45">
      <c r="A104" s="1"/>
      <c r="B104" s="1"/>
    </row>
    <row r="105" spans="1:6" ht="18" x14ac:dyDescent="0.55000000000000004">
      <c r="A105" s="5" t="s">
        <v>143</v>
      </c>
    </row>
    <row r="106" spans="1:6" x14ac:dyDescent="0.45">
      <c r="A106" s="7" t="s">
        <v>143</v>
      </c>
      <c r="B106" s="7" t="s">
        <v>56</v>
      </c>
      <c r="C106" s="8" t="s">
        <v>144</v>
      </c>
      <c r="D106" s="8"/>
      <c r="E106" s="8">
        <v>-50</v>
      </c>
      <c r="F106" s="8">
        <v>0</v>
      </c>
    </row>
    <row r="107" spans="1:6" x14ac:dyDescent="0.45">
      <c r="A107" s="7"/>
      <c r="B107" s="7" t="s">
        <v>57</v>
      </c>
      <c r="C107" s="8" t="s">
        <v>78</v>
      </c>
      <c r="D107" s="8"/>
      <c r="E107" s="8"/>
      <c r="F107" s="8">
        <v>20</v>
      </c>
    </row>
    <row r="108" spans="1:6" x14ac:dyDescent="0.45">
      <c r="A108" s="7"/>
      <c r="B108" s="7"/>
      <c r="C108" s="8" t="s">
        <v>145</v>
      </c>
      <c r="D108" s="8"/>
      <c r="E108" s="8"/>
      <c r="F108" s="8">
        <v>10</v>
      </c>
    </row>
    <row r="109" spans="1:6" x14ac:dyDescent="0.45">
      <c r="A109" s="7"/>
      <c r="B109" s="7"/>
      <c r="C109" s="8" t="s">
        <v>146</v>
      </c>
      <c r="D109" s="8"/>
      <c r="E109" s="8"/>
      <c r="F109" s="8">
        <v>20</v>
      </c>
    </row>
    <row r="110" spans="1:6" x14ac:dyDescent="0.45">
      <c r="A110" s="7"/>
      <c r="B110" s="7"/>
      <c r="C110" s="7"/>
      <c r="D110" s="15" t="s">
        <v>68</v>
      </c>
      <c r="E110" s="15">
        <f>-SUM(E107:E109)</f>
        <v>0</v>
      </c>
      <c r="F110" s="7"/>
    </row>
    <row r="111" spans="1:6" x14ac:dyDescent="0.45">
      <c r="A111" s="1"/>
      <c r="B111" s="1"/>
      <c r="E111">
        <f>SUM(E106:E110)</f>
        <v>-50</v>
      </c>
      <c r="F111">
        <f>SUM(F106:F109)</f>
        <v>50</v>
      </c>
    </row>
    <row r="112" spans="1:6" x14ac:dyDescent="0.45">
      <c r="A112" s="1"/>
      <c r="B112" s="1"/>
    </row>
    <row r="113" spans="1:6" ht="18" x14ac:dyDescent="0.55000000000000004">
      <c r="A113" s="5" t="s">
        <v>147</v>
      </c>
    </row>
    <row r="114" spans="1:6" x14ac:dyDescent="0.45">
      <c r="A114" s="7" t="s">
        <v>147</v>
      </c>
      <c r="B114" s="7" t="s">
        <v>56</v>
      </c>
      <c r="C114" s="8" t="s">
        <v>99</v>
      </c>
      <c r="D114" s="8"/>
      <c r="E114" s="8">
        <v>-50</v>
      </c>
      <c r="F114" s="8">
        <v>0</v>
      </c>
    </row>
    <row r="115" spans="1:6" x14ac:dyDescent="0.45">
      <c r="A115" s="7"/>
      <c r="B115" s="7" t="s">
        <v>57</v>
      </c>
      <c r="C115" s="8" t="s">
        <v>150</v>
      </c>
      <c r="D115" s="8"/>
      <c r="E115" s="8"/>
      <c r="F115" s="8">
        <v>30</v>
      </c>
    </row>
    <row r="116" spans="1:6" x14ac:dyDescent="0.45">
      <c r="A116" s="7"/>
      <c r="B116" s="7"/>
      <c r="C116" s="8" t="s">
        <v>149</v>
      </c>
      <c r="D116" s="8"/>
      <c r="E116" s="8"/>
      <c r="F116" s="8">
        <v>10</v>
      </c>
    </row>
    <row r="117" spans="1:6" x14ac:dyDescent="0.45">
      <c r="A117" s="7"/>
      <c r="B117" s="7"/>
      <c r="C117" s="8" t="s">
        <v>148</v>
      </c>
      <c r="D117" s="8"/>
      <c r="E117" s="8"/>
      <c r="F117" s="8">
        <v>10</v>
      </c>
    </row>
    <row r="118" spans="1:6" x14ac:dyDescent="0.45">
      <c r="A118" s="7"/>
      <c r="B118" s="7"/>
      <c r="C118" s="7"/>
      <c r="D118" s="15" t="s">
        <v>68</v>
      </c>
      <c r="E118" s="15">
        <f>-SUM(E115:E117)</f>
        <v>0</v>
      </c>
      <c r="F118" s="7"/>
    </row>
    <row r="119" spans="1:6" x14ac:dyDescent="0.45">
      <c r="A119" s="1"/>
      <c r="B119" s="1"/>
      <c r="E119">
        <f>SUM(E114:E118)</f>
        <v>-50</v>
      </c>
      <c r="F119">
        <f>SUM(F114:F117)</f>
        <v>50</v>
      </c>
    </row>
    <row r="120" spans="1:6" ht="13.5" customHeight="1" x14ac:dyDescent="0.45"/>
    <row r="121" spans="1:6" ht="21" x14ac:dyDescent="0.65">
      <c r="A121" s="16" t="s">
        <v>107</v>
      </c>
    </row>
    <row r="122" spans="1:6" ht="18" x14ac:dyDescent="0.55000000000000004">
      <c r="A122" s="5" t="s">
        <v>108</v>
      </c>
    </row>
    <row r="123" spans="1:6" x14ac:dyDescent="0.45">
      <c r="A123" s="7" t="s">
        <v>108</v>
      </c>
      <c r="B123" s="7"/>
      <c r="C123" s="8" t="s">
        <v>103</v>
      </c>
      <c r="D123" s="8"/>
      <c r="E123" s="8"/>
      <c r="F123" s="8">
        <v>5</v>
      </c>
    </row>
    <row r="124" spans="1:6" x14ac:dyDescent="0.45">
      <c r="A124" s="8"/>
      <c r="B124" s="8"/>
      <c r="C124" s="8" t="s">
        <v>109</v>
      </c>
      <c r="D124" s="8"/>
      <c r="E124" s="8">
        <v>-20</v>
      </c>
      <c r="F124" s="8">
        <v>0</v>
      </c>
    </row>
    <row r="125" spans="1:6" x14ac:dyDescent="0.45">
      <c r="A125" s="8"/>
      <c r="B125" s="8"/>
      <c r="C125" s="8" t="s">
        <v>70</v>
      </c>
      <c r="D125" s="8"/>
      <c r="E125" s="8"/>
      <c r="F125" s="8">
        <v>10</v>
      </c>
    </row>
    <row r="126" spans="1:6" x14ac:dyDescent="0.45">
      <c r="A126" s="8"/>
      <c r="B126" s="8"/>
      <c r="C126" s="8" t="s">
        <v>110</v>
      </c>
      <c r="D126" s="8"/>
      <c r="E126" s="8"/>
      <c r="F126" s="8">
        <v>20</v>
      </c>
    </row>
    <row r="127" spans="1:6" x14ac:dyDescent="0.45">
      <c r="A127" s="8"/>
      <c r="B127" s="8"/>
      <c r="C127" s="8" t="s">
        <v>105</v>
      </c>
      <c r="D127" s="8"/>
      <c r="E127" s="8"/>
      <c r="F127" s="8">
        <v>10</v>
      </c>
    </row>
    <row r="128" spans="1:6" x14ac:dyDescent="0.45">
      <c r="A128" s="8"/>
      <c r="B128" s="8"/>
      <c r="C128" s="8" t="s">
        <v>111</v>
      </c>
      <c r="D128" s="8"/>
      <c r="E128" s="8"/>
      <c r="F128" s="8">
        <v>5</v>
      </c>
    </row>
    <row r="129" spans="1:7" x14ac:dyDescent="0.45">
      <c r="A129" s="8"/>
      <c r="B129" s="8"/>
      <c r="C129" s="8"/>
      <c r="D129" s="15" t="s">
        <v>68</v>
      </c>
      <c r="E129" s="15">
        <f>-SUM(E123:E128)</f>
        <v>20</v>
      </c>
      <c r="F129" s="8"/>
    </row>
    <row r="130" spans="1:7" x14ac:dyDescent="0.45">
      <c r="E130">
        <f>SUM(E123:E129)</f>
        <v>0</v>
      </c>
      <c r="F130">
        <f>SUM(F123:F128)</f>
        <v>50</v>
      </c>
    </row>
    <row r="131" spans="1:7" ht="18" x14ac:dyDescent="0.55000000000000004">
      <c r="A131" s="5" t="s">
        <v>113</v>
      </c>
    </row>
    <row r="132" spans="1:7" x14ac:dyDescent="0.45">
      <c r="A132" s="7" t="s">
        <v>112</v>
      </c>
      <c r="B132" s="8" t="s">
        <v>114</v>
      </c>
      <c r="C132" s="8"/>
      <c r="D132" s="8"/>
      <c r="E132" s="8"/>
      <c r="F132" s="8">
        <v>20</v>
      </c>
    </row>
    <row r="133" spans="1:7" x14ac:dyDescent="0.45">
      <c r="A133" s="7"/>
      <c r="B133" s="8" t="s">
        <v>115</v>
      </c>
      <c r="C133" s="8"/>
      <c r="D133" s="8"/>
      <c r="E133" s="8"/>
      <c r="F133" s="8">
        <v>30</v>
      </c>
    </row>
    <row r="134" spans="1:7" x14ac:dyDescent="0.45">
      <c r="A134" s="8"/>
      <c r="B134" s="8" t="s">
        <v>116</v>
      </c>
      <c r="C134" s="8"/>
      <c r="D134" s="8"/>
      <c r="E134" s="8"/>
      <c r="F134" s="8">
        <v>20</v>
      </c>
    </row>
    <row r="135" spans="1:7" x14ac:dyDescent="0.45">
      <c r="A135" s="8"/>
      <c r="B135" s="19"/>
      <c r="C135" s="8"/>
      <c r="D135" s="15" t="s">
        <v>68</v>
      </c>
      <c r="E135" s="15">
        <f>-SUM(E132:E134)</f>
        <v>0</v>
      </c>
      <c r="F135" s="8"/>
    </row>
    <row r="136" spans="1:7" x14ac:dyDescent="0.45">
      <c r="E136">
        <f>SUM(E132:E135)</f>
        <v>0</v>
      </c>
      <c r="F136">
        <f>SUM(F132:F134)</f>
        <v>70</v>
      </c>
    </row>
    <row r="139" spans="1:7" x14ac:dyDescent="0.45">
      <c r="A139" s="7" t="s">
        <v>117</v>
      </c>
      <c r="B139" s="8" t="s">
        <v>82</v>
      </c>
      <c r="C139" s="8" t="s">
        <v>261</v>
      </c>
      <c r="D139" s="8"/>
      <c r="E139" s="8" t="s">
        <v>35</v>
      </c>
      <c r="F139" s="8">
        <v>10</v>
      </c>
    </row>
    <row r="140" spans="1:7" x14ac:dyDescent="0.45">
      <c r="A140" s="8"/>
      <c r="B140" s="8"/>
      <c r="C140" s="8" t="s">
        <v>262</v>
      </c>
      <c r="D140" s="8"/>
      <c r="E140" s="8" t="s">
        <v>34</v>
      </c>
      <c r="F140" s="8">
        <v>10</v>
      </c>
      <c r="G140" s="31" t="s">
        <v>7</v>
      </c>
    </row>
    <row r="141" spans="1:7" x14ac:dyDescent="0.45">
      <c r="A141" s="7" t="s">
        <v>118</v>
      </c>
      <c r="B141" s="8"/>
      <c r="C141" s="8" t="s">
        <v>64</v>
      </c>
      <c r="D141" s="8"/>
      <c r="E141" s="8" t="s">
        <v>34</v>
      </c>
      <c r="F141" s="8">
        <v>10</v>
      </c>
      <c r="G141" s="31"/>
    </row>
    <row r="142" spans="1:7" x14ac:dyDescent="0.45">
      <c r="A142" s="8"/>
      <c r="B142" s="8"/>
      <c r="C142" s="8" t="s">
        <v>119</v>
      </c>
      <c r="D142" s="8"/>
      <c r="E142" s="8" t="s">
        <v>34</v>
      </c>
      <c r="F142" s="8">
        <v>10</v>
      </c>
      <c r="G142" s="31"/>
    </row>
    <row r="143" spans="1:7" x14ac:dyDescent="0.45">
      <c r="A143" s="8"/>
      <c r="B143" s="8"/>
      <c r="C143" s="8" t="s">
        <v>120</v>
      </c>
      <c r="D143" s="8"/>
      <c r="E143" s="8" t="s">
        <v>34</v>
      </c>
      <c r="F143" s="8">
        <v>10</v>
      </c>
      <c r="G143" s="31"/>
    </row>
    <row r="144" spans="1:7" x14ac:dyDescent="0.45">
      <c r="A144" s="7"/>
      <c r="B144" s="8"/>
      <c r="C144" s="8" t="s">
        <v>121</v>
      </c>
      <c r="D144" s="8"/>
      <c r="E144" s="8" t="s">
        <v>34</v>
      </c>
      <c r="F144" s="8">
        <v>50</v>
      </c>
      <c r="G144" s="31"/>
    </row>
    <row r="145" spans="1:7" x14ac:dyDescent="0.45">
      <c r="A145" s="8"/>
      <c r="B145" s="8"/>
      <c r="C145" s="8" t="s">
        <v>122</v>
      </c>
      <c r="D145" s="8" t="s">
        <v>123</v>
      </c>
      <c r="E145" s="8" t="s">
        <v>34</v>
      </c>
      <c r="F145" s="8">
        <v>30</v>
      </c>
      <c r="G145" s="31"/>
    </row>
    <row r="146" spans="1:7" x14ac:dyDescent="0.45">
      <c r="A146" s="7"/>
      <c r="B146" s="8"/>
      <c r="C146" s="8" t="s">
        <v>124</v>
      </c>
      <c r="D146" s="8"/>
      <c r="E146" s="8" t="s">
        <v>34</v>
      </c>
      <c r="F146" s="8">
        <v>40</v>
      </c>
      <c r="G146" s="31"/>
    </row>
    <row r="147" spans="1:7" x14ac:dyDescent="0.45">
      <c r="A147" s="8"/>
      <c r="B147" s="8"/>
      <c r="C147" s="8"/>
      <c r="D147" s="15" t="s">
        <v>68</v>
      </c>
      <c r="E147" s="15">
        <f>-SUM(E140:E146)</f>
        <v>0</v>
      </c>
      <c r="F147" s="8"/>
      <c r="G147" s="31"/>
    </row>
    <row r="148" spans="1:7" x14ac:dyDescent="0.45">
      <c r="E148">
        <f>SUM(E144:E147)</f>
        <v>0</v>
      </c>
      <c r="F148">
        <v>170</v>
      </c>
      <c r="G148" s="31"/>
    </row>
    <row r="149" spans="1:7" x14ac:dyDescent="0.45">
      <c r="G149" s="31"/>
    </row>
    <row r="150" spans="1:7" x14ac:dyDescent="0.45">
      <c r="A150" s="7" t="s">
        <v>134</v>
      </c>
      <c r="B150" s="8"/>
      <c r="C150" s="8" t="s">
        <v>126</v>
      </c>
      <c r="D150" s="8"/>
      <c r="E150" s="8" t="s">
        <v>34</v>
      </c>
      <c r="F150" s="8">
        <v>10</v>
      </c>
      <c r="G150" s="31"/>
    </row>
    <row r="151" spans="1:7" x14ac:dyDescent="0.45">
      <c r="A151" s="7" t="s">
        <v>125</v>
      </c>
      <c r="B151" s="8"/>
      <c r="C151" s="8" t="s">
        <v>127</v>
      </c>
      <c r="D151" s="8"/>
      <c r="E151" s="8"/>
      <c r="F151" s="8">
        <v>10</v>
      </c>
      <c r="G151" s="31"/>
    </row>
    <row r="152" spans="1:7" x14ac:dyDescent="0.45">
      <c r="A152" s="7"/>
      <c r="B152" s="8"/>
      <c r="C152" s="8" t="s">
        <v>64</v>
      </c>
      <c r="D152" s="8"/>
      <c r="E152" s="8"/>
      <c r="F152" s="8">
        <v>10</v>
      </c>
      <c r="G152" s="31"/>
    </row>
    <row r="153" spans="1:7" x14ac:dyDescent="0.45">
      <c r="A153" s="7"/>
      <c r="B153" s="8"/>
      <c r="C153" s="8" t="s">
        <v>128</v>
      </c>
      <c r="D153" s="8"/>
      <c r="E153" s="8" t="s">
        <v>34</v>
      </c>
      <c r="F153" s="8">
        <v>10</v>
      </c>
      <c r="G153" s="31"/>
    </row>
    <row r="154" spans="1:7" x14ac:dyDescent="0.45">
      <c r="A154" s="8"/>
      <c r="B154" s="8"/>
      <c r="C154" s="8" t="s">
        <v>129</v>
      </c>
      <c r="D154" s="8"/>
      <c r="E154" s="8" t="s">
        <v>34</v>
      </c>
      <c r="F154" s="8">
        <v>15</v>
      </c>
      <c r="G154" s="31"/>
    </row>
    <row r="155" spans="1:7" x14ac:dyDescent="0.45">
      <c r="A155" s="8"/>
      <c r="B155" s="8"/>
      <c r="C155" s="8" t="s">
        <v>130</v>
      </c>
      <c r="D155" s="8"/>
      <c r="E155" s="8" t="s">
        <v>34</v>
      </c>
      <c r="F155" s="8">
        <v>10</v>
      </c>
      <c r="G155" s="31"/>
    </row>
    <row r="156" spans="1:7" x14ac:dyDescent="0.45">
      <c r="A156" s="8"/>
      <c r="B156" s="8"/>
      <c r="C156" s="8" t="s">
        <v>131</v>
      </c>
      <c r="D156" s="8"/>
      <c r="E156" s="8" t="s">
        <v>34</v>
      </c>
      <c r="F156" s="8">
        <v>15</v>
      </c>
      <c r="G156" s="31"/>
    </row>
    <row r="157" spans="1:7" x14ac:dyDescent="0.45">
      <c r="A157" s="8"/>
      <c r="B157" s="8"/>
      <c r="C157" s="8" t="s">
        <v>8</v>
      </c>
      <c r="D157" s="8"/>
      <c r="E157" s="8"/>
      <c r="F157" s="8">
        <v>15</v>
      </c>
      <c r="G157" s="31"/>
    </row>
    <row r="158" spans="1:7" x14ac:dyDescent="0.45">
      <c r="A158" s="8"/>
      <c r="B158" s="8"/>
      <c r="C158" s="8" t="s">
        <v>132</v>
      </c>
      <c r="D158" s="8"/>
      <c r="E158" s="8"/>
      <c r="F158" s="8">
        <v>5</v>
      </c>
      <c r="G158" s="31"/>
    </row>
    <row r="159" spans="1:7" x14ac:dyDescent="0.45">
      <c r="A159" s="8"/>
      <c r="B159" s="8"/>
      <c r="C159" s="8" t="s">
        <v>133</v>
      </c>
      <c r="D159" s="8"/>
      <c r="E159" s="8">
        <v>-100</v>
      </c>
      <c r="F159" s="8">
        <v>0</v>
      </c>
      <c r="G159" s="31"/>
    </row>
    <row r="160" spans="1:7" x14ac:dyDescent="0.45">
      <c r="A160" s="8"/>
      <c r="B160" s="8"/>
      <c r="C160" s="8"/>
      <c r="D160" s="15" t="s">
        <v>68</v>
      </c>
      <c r="E160" s="15">
        <f>-SUM(E150:E158)</f>
        <v>0</v>
      </c>
      <c r="F160" s="8"/>
      <c r="G160" s="31"/>
    </row>
    <row r="161" spans="1:7" x14ac:dyDescent="0.45">
      <c r="E161">
        <f>SUM(E150:E160)</f>
        <v>-100</v>
      </c>
      <c r="F161">
        <f>SUM(F150:F159)</f>
        <v>100</v>
      </c>
      <c r="G161" s="31"/>
    </row>
    <row r="162" spans="1:7" x14ac:dyDescent="0.45">
      <c r="G162" s="31"/>
    </row>
    <row r="163" spans="1:7" x14ac:dyDescent="0.45">
      <c r="A163" s="7" t="str">
        <f>A150</f>
        <v>Domänwissen Sensor/Aktor</v>
      </c>
      <c r="B163" s="8"/>
      <c r="C163" s="8" t="str">
        <f t="shared" ref="C163:C171" si="0">C150</f>
        <v>Allgemeine Beschreibung des Sensors</v>
      </c>
      <c r="D163" s="8"/>
      <c r="E163" s="8" t="s">
        <v>34</v>
      </c>
      <c r="F163" s="8">
        <f t="shared" ref="F163:F171" si="1">F150</f>
        <v>10</v>
      </c>
      <c r="G163" s="31"/>
    </row>
    <row r="164" spans="1:7" x14ac:dyDescent="0.45">
      <c r="A164" s="8" t="str">
        <f>$A$151</f>
        <v>z.B. Kamera, IMU, SPI</v>
      </c>
      <c r="B164" s="8"/>
      <c r="C164" s="8" t="str">
        <f t="shared" si="0"/>
        <v>Beschreibung des spezifischen Sensors</v>
      </c>
      <c r="D164" s="8"/>
      <c r="E164" s="8" t="s">
        <v>34</v>
      </c>
      <c r="F164" s="8">
        <f t="shared" si="1"/>
        <v>10</v>
      </c>
      <c r="G164" s="31"/>
    </row>
    <row r="165" spans="1:7" x14ac:dyDescent="0.45">
      <c r="A165" s="8"/>
      <c r="B165" s="8"/>
      <c r="C165" s="8" t="str">
        <f t="shared" si="0"/>
        <v>Spezifikation</v>
      </c>
      <c r="D165" s="8"/>
      <c r="E165" s="8" t="s">
        <v>34</v>
      </c>
      <c r="F165" s="8">
        <f t="shared" si="1"/>
        <v>10</v>
      </c>
      <c r="G165" s="31"/>
    </row>
    <row r="166" spans="1:7" x14ac:dyDescent="0.45">
      <c r="A166" s="7"/>
      <c r="B166" s="8"/>
      <c r="C166" s="8" t="str">
        <f t="shared" si="0"/>
        <v>Bibliothek</v>
      </c>
      <c r="D166" s="8"/>
      <c r="E166" s="8" t="s">
        <v>34</v>
      </c>
      <c r="F166" s="8">
        <f t="shared" si="1"/>
        <v>10</v>
      </c>
      <c r="G166" s="31"/>
    </row>
    <row r="167" spans="1:7" x14ac:dyDescent="0.45">
      <c r="A167" s="7"/>
      <c r="B167" s="8"/>
      <c r="C167" s="8" t="str">
        <f t="shared" si="0"/>
        <v>Kalibrierung</v>
      </c>
      <c r="D167" s="8"/>
      <c r="E167" s="8" t="s">
        <v>34</v>
      </c>
      <c r="F167" s="8">
        <f t="shared" si="1"/>
        <v>15</v>
      </c>
      <c r="G167" s="31"/>
    </row>
    <row r="168" spans="1:7" x14ac:dyDescent="0.45">
      <c r="A168" s="7"/>
      <c r="B168" s="8"/>
      <c r="C168" s="8" t="str">
        <f t="shared" si="0"/>
        <v>Einfaches Beispiel mit Code</v>
      </c>
      <c r="D168" s="8"/>
      <c r="E168" s="8"/>
      <c r="F168" s="8">
        <f t="shared" si="1"/>
        <v>10</v>
      </c>
      <c r="G168" s="31"/>
    </row>
    <row r="169" spans="1:7" x14ac:dyDescent="0.45">
      <c r="A169" s="7"/>
      <c r="B169" s="8"/>
      <c r="C169" s="8" t="str">
        <f t="shared" si="0"/>
        <v>Einfache Anwendung mit code</v>
      </c>
      <c r="D169" s="8"/>
      <c r="E169" s="8" t="s">
        <v>34</v>
      </c>
      <c r="F169" s="8">
        <f t="shared" si="1"/>
        <v>15</v>
      </c>
      <c r="G169" s="31"/>
    </row>
    <row r="170" spans="1:7" x14ac:dyDescent="0.45">
      <c r="A170" s="8"/>
      <c r="B170" s="8"/>
      <c r="C170" s="8" t="str">
        <f t="shared" si="0"/>
        <v>Tests</v>
      </c>
      <c r="D170" s="8"/>
      <c r="E170" s="8" t="s">
        <v>34</v>
      </c>
      <c r="F170" s="8">
        <f t="shared" si="1"/>
        <v>15</v>
      </c>
      <c r="G170" s="31"/>
    </row>
    <row r="171" spans="1:7" x14ac:dyDescent="0.45">
      <c r="A171" s="8"/>
      <c r="B171" s="8"/>
      <c r="C171" s="8" t="str">
        <f t="shared" si="0"/>
        <v>Weiterführende Literatur</v>
      </c>
      <c r="D171" s="8"/>
      <c r="E171" s="8"/>
      <c r="F171" s="8">
        <f t="shared" si="1"/>
        <v>5</v>
      </c>
      <c r="G171" s="31"/>
    </row>
    <row r="172" spans="1:7" x14ac:dyDescent="0.45">
      <c r="A172" s="8"/>
      <c r="B172" s="8"/>
      <c r="C172" s="8" t="str">
        <f t="shared" ref="C172" si="2">C159</f>
        <v>Verwendung des Templates</v>
      </c>
      <c r="D172" s="8"/>
      <c r="E172" s="8">
        <f>E159</f>
        <v>-100</v>
      </c>
      <c r="F172" s="8">
        <f t="shared" ref="F172" si="3">F159</f>
        <v>0</v>
      </c>
      <c r="G172" s="31"/>
    </row>
    <row r="173" spans="1:7" x14ac:dyDescent="0.45">
      <c r="A173" s="8"/>
      <c r="B173" s="8"/>
      <c r="C173" s="8"/>
      <c r="D173" s="15" t="s">
        <v>68</v>
      </c>
      <c r="E173" s="15">
        <f>-SUM(E163:E171)</f>
        <v>0</v>
      </c>
      <c r="F173" s="8"/>
      <c r="G173" s="31"/>
    </row>
    <row r="174" spans="1:7" x14ac:dyDescent="0.45">
      <c r="E174">
        <f>SUM(E163:E173)</f>
        <v>-100</v>
      </c>
      <c r="F174">
        <f>SUM(F163:F172)</f>
        <v>100</v>
      </c>
      <c r="G174" s="31"/>
    </row>
    <row r="175" spans="1:7" x14ac:dyDescent="0.45">
      <c r="A175" s="7" t="str">
        <f>A163</f>
        <v>Domänwissen Sensor/Aktor</v>
      </c>
      <c r="B175" s="7"/>
      <c r="C175" s="8" t="str">
        <f t="shared" ref="C175:C183" si="4">C163</f>
        <v>Allgemeine Beschreibung des Sensors</v>
      </c>
      <c r="D175" s="8"/>
      <c r="E175" s="8"/>
      <c r="F175" s="8">
        <f t="shared" ref="F175:F183" si="5">F163</f>
        <v>10</v>
      </c>
      <c r="G175" s="31"/>
    </row>
    <row r="176" spans="1:7" x14ac:dyDescent="0.45">
      <c r="A176" s="7" t="str">
        <f>A164</f>
        <v>z.B. Kamera, IMU, SPI</v>
      </c>
      <c r="B176" s="7"/>
      <c r="C176" s="8" t="str">
        <f t="shared" si="4"/>
        <v>Beschreibung des spezifischen Sensors</v>
      </c>
      <c r="D176" s="8"/>
      <c r="E176" s="8"/>
      <c r="F176" s="8">
        <f t="shared" si="5"/>
        <v>10</v>
      </c>
      <c r="G176" s="31"/>
    </row>
    <row r="177" spans="1:7" x14ac:dyDescent="0.45">
      <c r="A177" s="7"/>
      <c r="B177" s="7"/>
      <c r="C177" s="8" t="str">
        <f t="shared" si="4"/>
        <v>Spezifikation</v>
      </c>
      <c r="D177" s="8"/>
      <c r="E177" s="8"/>
      <c r="F177" s="8">
        <f t="shared" si="5"/>
        <v>10</v>
      </c>
      <c r="G177" s="31"/>
    </row>
    <row r="178" spans="1:7" x14ac:dyDescent="0.45">
      <c r="A178" s="7"/>
      <c r="B178" s="7"/>
      <c r="C178" s="8" t="str">
        <f t="shared" si="4"/>
        <v>Bibliothek</v>
      </c>
      <c r="D178" s="8"/>
      <c r="E178" s="8"/>
      <c r="F178" s="8">
        <f t="shared" si="5"/>
        <v>10</v>
      </c>
      <c r="G178" s="31"/>
    </row>
    <row r="179" spans="1:7" x14ac:dyDescent="0.45">
      <c r="A179" s="7"/>
      <c r="B179" s="7"/>
      <c r="C179" s="8" t="str">
        <f t="shared" si="4"/>
        <v>Kalibrierung</v>
      </c>
      <c r="D179" s="8"/>
      <c r="E179" s="8"/>
      <c r="F179" s="8">
        <f t="shared" si="5"/>
        <v>15</v>
      </c>
      <c r="G179" s="31"/>
    </row>
    <row r="180" spans="1:7" x14ac:dyDescent="0.45">
      <c r="A180" s="7"/>
      <c r="B180" s="7"/>
      <c r="C180" s="8" t="str">
        <f t="shared" si="4"/>
        <v>Einfaches Beispiel mit Code</v>
      </c>
      <c r="D180" s="8"/>
      <c r="E180" s="8"/>
      <c r="F180" s="8">
        <f t="shared" si="5"/>
        <v>10</v>
      </c>
      <c r="G180" s="31"/>
    </row>
    <row r="181" spans="1:7" x14ac:dyDescent="0.45">
      <c r="A181" s="7"/>
      <c r="B181" s="7"/>
      <c r="C181" s="8" t="str">
        <f t="shared" si="4"/>
        <v>Einfache Anwendung mit code</v>
      </c>
      <c r="D181" s="8"/>
      <c r="E181" s="8"/>
      <c r="F181" s="8">
        <f t="shared" si="5"/>
        <v>15</v>
      </c>
      <c r="G181" s="31"/>
    </row>
    <row r="182" spans="1:7" x14ac:dyDescent="0.45">
      <c r="A182" s="7"/>
      <c r="B182" s="7"/>
      <c r="C182" s="8" t="str">
        <f t="shared" si="4"/>
        <v>Tests</v>
      </c>
      <c r="D182" s="8"/>
      <c r="E182" s="8"/>
      <c r="F182" s="8">
        <f t="shared" si="5"/>
        <v>15</v>
      </c>
      <c r="G182" s="31"/>
    </row>
    <row r="183" spans="1:7" x14ac:dyDescent="0.45">
      <c r="A183" s="7"/>
      <c r="B183" s="7"/>
      <c r="C183" s="8" t="str">
        <f t="shared" si="4"/>
        <v>Weiterführende Literatur</v>
      </c>
      <c r="D183" s="8"/>
      <c r="E183" s="8"/>
      <c r="F183" s="8">
        <f t="shared" si="5"/>
        <v>5</v>
      </c>
      <c r="G183" s="31"/>
    </row>
    <row r="184" spans="1:7" x14ac:dyDescent="0.45">
      <c r="A184" s="7"/>
      <c r="B184" s="7"/>
      <c r="C184" s="8" t="str">
        <f t="shared" ref="C184" si="6">C172</f>
        <v>Verwendung des Templates</v>
      </c>
      <c r="D184" s="8"/>
      <c r="E184" s="8">
        <f>E172</f>
        <v>-100</v>
      </c>
      <c r="F184" s="8">
        <f t="shared" ref="F184" si="7">F172</f>
        <v>0</v>
      </c>
      <c r="G184" s="31"/>
    </row>
    <row r="185" spans="1:7" x14ac:dyDescent="0.45">
      <c r="A185" s="7"/>
      <c r="B185" s="7"/>
      <c r="C185" s="8"/>
      <c r="D185" s="15" t="s">
        <v>68</v>
      </c>
      <c r="E185" s="15">
        <f>-SUM(E175:E183)</f>
        <v>0</v>
      </c>
      <c r="F185" s="8"/>
      <c r="G185" s="31"/>
    </row>
    <row r="186" spans="1:7" x14ac:dyDescent="0.45">
      <c r="A186" s="1"/>
      <c r="B186" s="1"/>
      <c r="E186">
        <f>SUM(E175:E185)</f>
        <v>-100</v>
      </c>
      <c r="F186">
        <f>SUM(F175:F184)</f>
        <v>100</v>
      </c>
      <c r="G186" s="31"/>
    </row>
    <row r="187" spans="1:7" x14ac:dyDescent="0.45">
      <c r="A187" s="7" t="s">
        <v>135</v>
      </c>
      <c r="B187" s="8"/>
      <c r="C187" s="8" t="s">
        <v>82</v>
      </c>
      <c r="D187" s="8"/>
      <c r="E187" s="8" t="s">
        <v>34</v>
      </c>
      <c r="F187" s="8">
        <v>10</v>
      </c>
      <c r="G187" s="31"/>
    </row>
    <row r="188" spans="1:7" x14ac:dyDescent="0.45">
      <c r="A188" s="7"/>
      <c r="B188" s="8"/>
      <c r="C188" s="8" t="s">
        <v>136</v>
      </c>
      <c r="D188" s="8"/>
      <c r="E188" s="8"/>
      <c r="F188" s="8">
        <v>10</v>
      </c>
      <c r="G188" s="31"/>
    </row>
    <row r="189" spans="1:7" x14ac:dyDescent="0.45">
      <c r="A189" s="7"/>
      <c r="B189" s="8"/>
      <c r="C189" s="8" t="s">
        <v>137</v>
      </c>
      <c r="D189" s="8"/>
      <c r="E189" s="8"/>
      <c r="F189" s="8">
        <v>10</v>
      </c>
      <c r="G189" s="31"/>
    </row>
    <row r="190" spans="1:7" x14ac:dyDescent="0.45">
      <c r="A190" s="7"/>
      <c r="B190" s="8"/>
      <c r="C190" s="8" t="s">
        <v>138</v>
      </c>
      <c r="D190" s="8"/>
      <c r="E190" s="8"/>
      <c r="F190" s="8">
        <v>10</v>
      </c>
      <c r="G190" s="31"/>
    </row>
    <row r="191" spans="1:7" x14ac:dyDescent="0.45">
      <c r="A191" s="7"/>
      <c r="B191" s="8"/>
      <c r="C191" s="8" t="s">
        <v>139</v>
      </c>
      <c r="D191" s="8"/>
      <c r="E191" s="8"/>
      <c r="F191" s="8">
        <v>10</v>
      </c>
      <c r="G191" s="31"/>
    </row>
    <row r="192" spans="1:7" x14ac:dyDescent="0.45">
      <c r="A192" s="7"/>
      <c r="B192" s="8"/>
      <c r="C192" s="8" t="s">
        <v>2</v>
      </c>
      <c r="D192" s="8"/>
      <c r="E192" s="8"/>
      <c r="F192" s="8">
        <v>10</v>
      </c>
      <c r="G192" s="31"/>
    </row>
    <row r="193" spans="1:12" x14ac:dyDescent="0.45">
      <c r="A193" s="7"/>
      <c r="B193" s="8"/>
      <c r="C193" s="8" t="s">
        <v>140</v>
      </c>
      <c r="D193" s="8"/>
      <c r="E193" s="8"/>
      <c r="F193" s="8">
        <v>10</v>
      </c>
      <c r="G193" s="31"/>
    </row>
    <row r="194" spans="1:12" x14ac:dyDescent="0.45">
      <c r="A194" s="7"/>
      <c r="B194" s="8"/>
      <c r="C194" s="8" t="s">
        <v>122</v>
      </c>
      <c r="D194" s="8" t="s">
        <v>123</v>
      </c>
      <c r="E194" s="8" t="s">
        <v>34</v>
      </c>
      <c r="F194" s="8">
        <v>10</v>
      </c>
      <c r="G194" s="31"/>
    </row>
    <row r="195" spans="1:12" x14ac:dyDescent="0.45">
      <c r="A195" s="8"/>
      <c r="B195" s="8"/>
      <c r="C195" s="8" t="s">
        <v>263</v>
      </c>
      <c r="D195" s="8"/>
      <c r="E195" s="8" t="s">
        <v>34</v>
      </c>
      <c r="F195" s="8">
        <v>10</v>
      </c>
      <c r="G195" s="31"/>
    </row>
    <row r="196" spans="1:12" x14ac:dyDescent="0.45">
      <c r="A196" s="8"/>
      <c r="B196" s="8"/>
      <c r="C196" s="8" t="s">
        <v>141</v>
      </c>
      <c r="D196" s="8"/>
      <c r="E196" s="8" t="s">
        <v>34</v>
      </c>
      <c r="F196" s="8">
        <v>5</v>
      </c>
      <c r="G196" s="31"/>
    </row>
    <row r="197" spans="1:12" x14ac:dyDescent="0.45">
      <c r="A197" s="8"/>
      <c r="B197" s="8"/>
      <c r="C197" s="8" t="s">
        <v>142</v>
      </c>
      <c r="D197" s="8"/>
      <c r="E197" s="8" t="s">
        <v>34</v>
      </c>
      <c r="F197" s="8">
        <v>5</v>
      </c>
      <c r="G197" s="31"/>
    </row>
    <row r="198" spans="1:12" x14ac:dyDescent="0.45">
      <c r="A198" s="8"/>
      <c r="B198" s="8"/>
      <c r="C198" s="8"/>
      <c r="D198" s="15" t="s">
        <v>68</v>
      </c>
      <c r="E198" s="15">
        <f>-SUM(E187:E197)</f>
        <v>0</v>
      </c>
      <c r="F198" s="8"/>
      <c r="G198" s="31"/>
    </row>
    <row r="199" spans="1:12" x14ac:dyDescent="0.45">
      <c r="E199">
        <f>SUM(E187:E198)</f>
        <v>0</v>
      </c>
      <c r="F199">
        <f>SUM(F187:F197)</f>
        <v>100</v>
      </c>
      <c r="G199" s="31"/>
    </row>
    <row r="200" spans="1:12" x14ac:dyDescent="0.45">
      <c r="G200" s="31"/>
    </row>
    <row r="201" spans="1:12" s="5" customFormat="1" ht="18" x14ac:dyDescent="0.55000000000000004">
      <c r="A201" s="5" t="s">
        <v>151</v>
      </c>
      <c r="K201"/>
      <c r="L201"/>
    </row>
    <row r="202" spans="1:12" ht="18" x14ac:dyDescent="0.55000000000000004">
      <c r="A202" s="5"/>
    </row>
    <row r="203" spans="1:12" x14ac:dyDescent="0.45">
      <c r="A203" s="7" t="s">
        <v>152</v>
      </c>
      <c r="B203" s="7"/>
      <c r="C203" s="8" t="s">
        <v>82</v>
      </c>
      <c r="D203" s="8"/>
      <c r="E203" s="8"/>
      <c r="F203" s="8">
        <v>10</v>
      </c>
    </row>
    <row r="204" spans="1:12" x14ac:dyDescent="0.45">
      <c r="A204" s="8"/>
      <c r="B204" s="8"/>
      <c r="C204" s="8" t="s">
        <v>153</v>
      </c>
      <c r="D204" s="8"/>
      <c r="E204" s="8"/>
      <c r="F204" s="8">
        <v>10</v>
      </c>
    </row>
    <row r="205" spans="1:12" x14ac:dyDescent="0.45">
      <c r="A205" s="8"/>
      <c r="B205" s="8"/>
      <c r="C205" s="8" t="s">
        <v>79</v>
      </c>
      <c r="D205" s="8"/>
      <c r="E205" s="8"/>
      <c r="F205" s="8">
        <v>10</v>
      </c>
    </row>
    <row r="206" spans="1:12" x14ac:dyDescent="0.45">
      <c r="A206" s="8"/>
      <c r="B206" s="8"/>
      <c r="C206" s="8" t="s">
        <v>154</v>
      </c>
      <c r="D206" s="8"/>
      <c r="E206" s="8"/>
      <c r="F206" s="8">
        <v>10</v>
      </c>
    </row>
    <row r="207" spans="1:12" x14ac:dyDescent="0.45">
      <c r="A207" s="8"/>
      <c r="B207" s="8"/>
      <c r="C207" s="8" t="s">
        <v>155</v>
      </c>
      <c r="D207" s="8"/>
      <c r="E207" s="8"/>
      <c r="F207" s="8">
        <v>10</v>
      </c>
    </row>
    <row r="208" spans="1:12" x14ac:dyDescent="0.45">
      <c r="A208" s="8"/>
      <c r="B208" s="8"/>
      <c r="C208" s="8" t="s">
        <v>156</v>
      </c>
      <c r="D208" s="8"/>
      <c r="E208" s="8"/>
      <c r="F208" s="8">
        <v>10</v>
      </c>
    </row>
    <row r="209" spans="1:7" x14ac:dyDescent="0.45">
      <c r="A209" s="8"/>
      <c r="B209" s="8"/>
      <c r="C209" s="8" t="s">
        <v>157</v>
      </c>
      <c r="D209" s="8"/>
      <c r="E209" s="8"/>
      <c r="F209" s="8">
        <v>10</v>
      </c>
    </row>
    <row r="210" spans="1:7" x14ac:dyDescent="0.45">
      <c r="A210" s="8"/>
      <c r="B210" s="8"/>
      <c r="C210" s="8"/>
      <c r="D210" s="15" t="s">
        <v>68</v>
      </c>
      <c r="E210" s="15">
        <f>-SUM(E203:E209)</f>
        <v>0</v>
      </c>
      <c r="F210" s="8"/>
    </row>
    <row r="211" spans="1:7" x14ac:dyDescent="0.45">
      <c r="E211">
        <f>SUM(E203:E210)</f>
        <v>0</v>
      </c>
      <c r="F211">
        <f>SUM(F203:F209)</f>
        <v>70</v>
      </c>
    </row>
    <row r="213" spans="1:7" ht="18" x14ac:dyDescent="0.55000000000000004">
      <c r="A213" s="5" t="s">
        <v>264</v>
      </c>
    </row>
    <row r="214" spans="1:7" x14ac:dyDescent="0.45">
      <c r="A214" s="7" t="s">
        <v>158</v>
      </c>
      <c r="B214" s="7"/>
      <c r="C214" s="8" t="s">
        <v>28</v>
      </c>
      <c r="D214" s="8"/>
      <c r="E214" s="8"/>
      <c r="F214" s="8">
        <v>5</v>
      </c>
      <c r="G214" s="32" t="s">
        <v>7</v>
      </c>
    </row>
    <row r="215" spans="1:7" x14ac:dyDescent="0.45">
      <c r="A215" s="7" t="s">
        <v>44</v>
      </c>
      <c r="B215" s="7"/>
      <c r="C215" s="8" t="s">
        <v>82</v>
      </c>
      <c r="D215" s="8"/>
      <c r="E215" s="8"/>
      <c r="F215" s="8">
        <v>10</v>
      </c>
      <c r="G215" s="32"/>
    </row>
    <row r="216" spans="1:7" x14ac:dyDescent="0.45">
      <c r="A216" s="7"/>
      <c r="B216" s="7"/>
      <c r="C216" s="8" t="s">
        <v>2</v>
      </c>
      <c r="D216" s="8"/>
      <c r="E216" s="8"/>
      <c r="F216" s="8">
        <v>10</v>
      </c>
      <c r="G216" s="32"/>
    </row>
    <row r="217" spans="1:7" x14ac:dyDescent="0.45">
      <c r="A217" s="7"/>
      <c r="B217" s="7"/>
      <c r="C217" s="8" t="s">
        <v>140</v>
      </c>
      <c r="D217" s="8"/>
      <c r="E217" s="8"/>
      <c r="F217" s="8">
        <v>5</v>
      </c>
      <c r="G217" s="32"/>
    </row>
    <row r="218" spans="1:7" x14ac:dyDescent="0.45">
      <c r="A218" s="7"/>
      <c r="B218" s="7"/>
      <c r="C218" s="8" t="s">
        <v>160</v>
      </c>
      <c r="D218" s="8"/>
      <c r="E218" s="8"/>
      <c r="F218" s="8">
        <v>5</v>
      </c>
      <c r="G218" s="32"/>
    </row>
    <row r="219" spans="1:7" x14ac:dyDescent="0.45">
      <c r="A219" s="7"/>
      <c r="B219" s="7"/>
      <c r="C219" s="8" t="s">
        <v>159</v>
      </c>
      <c r="D219" s="8"/>
      <c r="E219" s="8"/>
      <c r="F219" s="8">
        <v>5</v>
      </c>
      <c r="G219" s="32"/>
    </row>
    <row r="220" spans="1:7" x14ac:dyDescent="0.45">
      <c r="A220" s="7"/>
      <c r="B220" s="7"/>
      <c r="C220" s="8"/>
      <c r="D220" s="15" t="s">
        <v>68</v>
      </c>
      <c r="E220" s="15">
        <f>-SUM(E214:E219)</f>
        <v>0</v>
      </c>
      <c r="F220" s="8"/>
      <c r="G220" s="32"/>
    </row>
    <row r="221" spans="1:7" x14ac:dyDescent="0.45">
      <c r="A221" s="1"/>
      <c r="B221" s="1"/>
      <c r="E221">
        <f>-SUM(E214:E220)</f>
        <v>0</v>
      </c>
      <c r="F221">
        <f>SUM(F214:F219)</f>
        <v>40</v>
      </c>
      <c r="G221" s="32"/>
    </row>
    <row r="222" spans="1:7" x14ac:dyDescent="0.45">
      <c r="A222" s="1"/>
      <c r="B222" s="1"/>
      <c r="G222" s="32"/>
    </row>
    <row r="223" spans="1:7" x14ac:dyDescent="0.45">
      <c r="A223" s="7" t="s">
        <v>158</v>
      </c>
      <c r="B223" s="7"/>
      <c r="C223" s="8" t="s">
        <v>28</v>
      </c>
      <c r="D223" s="8"/>
      <c r="E223" s="8"/>
      <c r="F223" s="8">
        <v>5</v>
      </c>
      <c r="G223" s="32"/>
    </row>
    <row r="224" spans="1:7" x14ac:dyDescent="0.45">
      <c r="A224" s="7" t="s">
        <v>178</v>
      </c>
      <c r="B224" s="7"/>
      <c r="C224" s="8" t="s">
        <v>82</v>
      </c>
      <c r="D224" s="8"/>
      <c r="E224" s="8"/>
      <c r="F224" s="8">
        <v>25</v>
      </c>
      <c r="G224" s="32"/>
    </row>
    <row r="225" spans="1:7" x14ac:dyDescent="0.45">
      <c r="A225" s="7"/>
      <c r="B225" s="7"/>
      <c r="C225" s="8" t="s">
        <v>2</v>
      </c>
      <c r="D225" s="8"/>
      <c r="E225" s="8"/>
      <c r="F225" s="8">
        <v>15</v>
      </c>
      <c r="G225" s="32"/>
    </row>
    <row r="226" spans="1:7" x14ac:dyDescent="0.45">
      <c r="A226" s="7"/>
      <c r="B226" s="7"/>
      <c r="C226" s="8" t="s">
        <v>140</v>
      </c>
      <c r="D226" s="8"/>
      <c r="E226" s="8"/>
      <c r="F226" s="8">
        <v>15</v>
      </c>
      <c r="G226" s="32"/>
    </row>
    <row r="227" spans="1:7" x14ac:dyDescent="0.45">
      <c r="A227" s="7"/>
      <c r="B227" s="7"/>
      <c r="C227" s="8" t="s">
        <v>160</v>
      </c>
      <c r="D227" s="8"/>
      <c r="E227" s="8"/>
      <c r="F227" s="8">
        <v>20</v>
      </c>
      <c r="G227" s="32"/>
    </row>
    <row r="228" spans="1:7" x14ac:dyDescent="0.45">
      <c r="A228" s="7"/>
      <c r="B228" s="7"/>
      <c r="C228" s="8" t="s">
        <v>159</v>
      </c>
      <c r="D228" s="8"/>
      <c r="E228" s="8"/>
      <c r="F228" s="8">
        <v>15</v>
      </c>
      <c r="G228" s="32"/>
    </row>
    <row r="229" spans="1:7" x14ac:dyDescent="0.45">
      <c r="A229" s="7"/>
      <c r="B229" s="7"/>
      <c r="C229" s="8"/>
      <c r="D229" s="15" t="s">
        <v>68</v>
      </c>
      <c r="E229" s="15">
        <f>-SUM(E223:E228)</f>
        <v>0</v>
      </c>
      <c r="F229" s="8"/>
      <c r="G229" s="32"/>
    </row>
    <row r="230" spans="1:7" x14ac:dyDescent="0.45">
      <c r="A230" s="1"/>
      <c r="B230" s="1"/>
      <c r="E230">
        <f>-SUM(E223:E229)</f>
        <v>0</v>
      </c>
      <c r="F230">
        <f>SUM(F223:F228)</f>
        <v>95</v>
      </c>
      <c r="G230" s="32"/>
    </row>
    <row r="232" spans="1:7" ht="18" x14ac:dyDescent="0.55000000000000004">
      <c r="A232" s="5" t="s">
        <v>243</v>
      </c>
    </row>
    <row r="234" spans="1:7" x14ac:dyDescent="0.45">
      <c r="A234" s="7" t="s">
        <v>161</v>
      </c>
      <c r="B234" s="8" t="s">
        <v>114</v>
      </c>
      <c r="C234" s="8"/>
      <c r="D234" s="8"/>
      <c r="E234" s="8"/>
      <c r="F234" s="8">
        <v>10</v>
      </c>
    </row>
    <row r="235" spans="1:7" x14ac:dyDescent="0.45">
      <c r="A235" s="7" t="s">
        <v>44</v>
      </c>
      <c r="B235" s="8" t="s">
        <v>177</v>
      </c>
      <c r="C235" s="8"/>
      <c r="D235" s="8"/>
      <c r="E235" s="8"/>
      <c r="F235" s="8">
        <v>5</v>
      </c>
    </row>
    <row r="236" spans="1:7" x14ac:dyDescent="0.45">
      <c r="A236" s="7"/>
      <c r="B236" s="8" t="s">
        <v>163</v>
      </c>
      <c r="C236" s="8"/>
      <c r="D236" s="8"/>
      <c r="E236" s="8"/>
      <c r="F236" s="8">
        <v>15</v>
      </c>
    </row>
    <row r="237" spans="1:7" x14ac:dyDescent="0.45">
      <c r="A237" s="7"/>
      <c r="B237" s="8" t="s">
        <v>164</v>
      </c>
      <c r="C237" s="8"/>
      <c r="D237" s="8"/>
      <c r="E237" s="8"/>
      <c r="F237" s="8">
        <v>5</v>
      </c>
    </row>
    <row r="238" spans="1:7" x14ac:dyDescent="0.45">
      <c r="A238" s="7"/>
      <c r="B238" s="8" t="s">
        <v>78</v>
      </c>
      <c r="C238" s="8"/>
      <c r="D238" s="8"/>
      <c r="E238" s="8"/>
      <c r="F238" s="8">
        <v>5</v>
      </c>
    </row>
    <row r="239" spans="1:7" x14ac:dyDescent="0.45">
      <c r="A239" s="7"/>
      <c r="B239" s="7" t="s">
        <v>165</v>
      </c>
      <c r="C239" s="8" t="s">
        <v>175</v>
      </c>
      <c r="D239" s="8"/>
      <c r="E239" s="8"/>
      <c r="F239" s="8">
        <v>10</v>
      </c>
    </row>
    <row r="240" spans="1:7" x14ac:dyDescent="0.45">
      <c r="A240" s="7"/>
      <c r="B240" s="7"/>
      <c r="C240" s="8" t="s">
        <v>176</v>
      </c>
      <c r="D240" s="8"/>
      <c r="E240" s="8"/>
      <c r="F240" s="8">
        <v>10</v>
      </c>
    </row>
    <row r="241" spans="1:6" x14ac:dyDescent="0.45">
      <c r="A241" s="7"/>
      <c r="B241" s="7"/>
      <c r="C241" s="8" t="s">
        <v>166</v>
      </c>
      <c r="D241" s="8"/>
      <c r="E241" s="8"/>
      <c r="F241" s="8">
        <v>15</v>
      </c>
    </row>
    <row r="242" spans="1:6" x14ac:dyDescent="0.45">
      <c r="A242" s="7"/>
      <c r="B242" s="7"/>
      <c r="C242" s="8" t="s">
        <v>167</v>
      </c>
      <c r="D242" s="8"/>
      <c r="E242" s="8"/>
      <c r="F242" s="8">
        <v>20</v>
      </c>
    </row>
    <row r="243" spans="1:6" x14ac:dyDescent="0.45">
      <c r="A243" s="7"/>
      <c r="B243" s="7"/>
      <c r="C243" s="8" t="s">
        <v>168</v>
      </c>
      <c r="D243" s="8"/>
      <c r="E243" s="8"/>
      <c r="F243" s="8">
        <v>20</v>
      </c>
    </row>
    <row r="244" spans="1:6" x14ac:dyDescent="0.45">
      <c r="A244" s="7"/>
      <c r="B244" s="7"/>
      <c r="C244" s="8" t="s">
        <v>169</v>
      </c>
      <c r="D244" s="8"/>
      <c r="E244" s="8"/>
      <c r="F244" s="8">
        <v>20</v>
      </c>
    </row>
    <row r="245" spans="1:6" x14ac:dyDescent="0.45">
      <c r="A245" s="7"/>
      <c r="B245" s="7"/>
      <c r="C245" s="8" t="s">
        <v>170</v>
      </c>
      <c r="D245" s="8" t="s">
        <v>171</v>
      </c>
      <c r="E245" s="8"/>
      <c r="F245" s="8">
        <v>3</v>
      </c>
    </row>
    <row r="246" spans="1:6" x14ac:dyDescent="0.45">
      <c r="A246" s="7"/>
      <c r="B246" s="7"/>
      <c r="C246" s="8"/>
      <c r="D246" s="8" t="s">
        <v>96</v>
      </c>
      <c r="E246" s="8"/>
      <c r="F246" s="8">
        <v>3</v>
      </c>
    </row>
    <row r="247" spans="1:6" x14ac:dyDescent="0.45">
      <c r="A247" s="7"/>
      <c r="B247" s="7"/>
      <c r="C247" s="8"/>
      <c r="D247" s="8" t="s">
        <v>172</v>
      </c>
      <c r="E247" s="8"/>
      <c r="F247" s="8">
        <v>3</v>
      </c>
    </row>
    <row r="248" spans="1:6" x14ac:dyDescent="0.45">
      <c r="A248" s="7"/>
      <c r="B248" s="7"/>
      <c r="C248" s="8"/>
      <c r="D248" s="8" t="s">
        <v>173</v>
      </c>
      <c r="E248" s="8"/>
      <c r="F248" s="8">
        <v>3</v>
      </c>
    </row>
    <row r="249" spans="1:6" x14ac:dyDescent="0.45">
      <c r="A249" s="7"/>
      <c r="B249" s="7"/>
      <c r="C249" s="8"/>
      <c r="D249" s="8" t="s">
        <v>174</v>
      </c>
      <c r="E249" s="8"/>
      <c r="F249" s="8">
        <v>3</v>
      </c>
    </row>
    <row r="250" spans="1:6" x14ac:dyDescent="0.45">
      <c r="A250" s="7"/>
      <c r="B250" s="7"/>
      <c r="C250" s="8"/>
      <c r="D250" s="15" t="s">
        <v>68</v>
      </c>
      <c r="E250" s="15">
        <f>-SUM(E239:E249)</f>
        <v>0</v>
      </c>
      <c r="F250" s="8"/>
    </row>
    <row r="251" spans="1:6" x14ac:dyDescent="0.45">
      <c r="E251">
        <f>SUM(E234:E250)</f>
        <v>0</v>
      </c>
      <c r="F251">
        <f>SUM(F234:F250)</f>
        <v>150</v>
      </c>
    </row>
    <row r="255" spans="1:6" ht="18" x14ac:dyDescent="0.55000000000000004">
      <c r="A255" s="5" t="s">
        <v>32</v>
      </c>
    </row>
    <row r="256" spans="1:6" x14ac:dyDescent="0.45">
      <c r="A256" s="7" t="s">
        <v>161</v>
      </c>
      <c r="B256" s="8" t="s">
        <v>114</v>
      </c>
      <c r="C256" s="8"/>
      <c r="D256" s="8"/>
      <c r="E256" s="8"/>
      <c r="F256" s="8">
        <v>10</v>
      </c>
    </row>
    <row r="257" spans="1:12" x14ac:dyDescent="0.45">
      <c r="A257" s="7" t="s">
        <v>178</v>
      </c>
      <c r="B257" s="7"/>
      <c r="C257" s="8" t="s">
        <v>162</v>
      </c>
      <c r="D257" s="8"/>
      <c r="E257" s="8"/>
      <c r="F257" s="8">
        <v>10</v>
      </c>
    </row>
    <row r="258" spans="1:12" x14ac:dyDescent="0.45">
      <c r="A258" s="7"/>
      <c r="B258" s="7"/>
      <c r="C258" s="8" t="s">
        <v>93</v>
      </c>
      <c r="D258" s="8"/>
      <c r="E258" s="8"/>
      <c r="F258" s="8">
        <v>5</v>
      </c>
    </row>
    <row r="259" spans="1:12" x14ac:dyDescent="0.45">
      <c r="A259" s="7"/>
      <c r="B259" s="7"/>
      <c r="C259" s="8" t="s">
        <v>163</v>
      </c>
      <c r="D259" s="8"/>
      <c r="E259" s="8"/>
      <c r="F259" s="8">
        <v>5</v>
      </c>
    </row>
    <row r="260" spans="1:12" x14ac:dyDescent="0.45">
      <c r="A260" s="7"/>
      <c r="B260" s="7"/>
      <c r="C260" s="8" t="s">
        <v>82</v>
      </c>
      <c r="D260" s="8"/>
      <c r="E260" s="8"/>
      <c r="F260" s="8">
        <v>20</v>
      </c>
    </row>
    <row r="261" spans="1:12" x14ac:dyDescent="0.45">
      <c r="A261" s="7"/>
      <c r="B261" s="7" t="s">
        <v>165</v>
      </c>
      <c r="C261" s="8" t="s">
        <v>175</v>
      </c>
      <c r="D261" s="8"/>
      <c r="E261" s="8"/>
      <c r="F261" s="8">
        <v>5</v>
      </c>
    </row>
    <row r="262" spans="1:12" x14ac:dyDescent="0.45">
      <c r="A262" s="7"/>
      <c r="B262" s="7"/>
      <c r="C262" s="8" t="s">
        <v>166</v>
      </c>
      <c r="D262" s="8"/>
      <c r="E262" s="8"/>
      <c r="F262" s="8">
        <v>5</v>
      </c>
    </row>
    <row r="263" spans="1:12" x14ac:dyDescent="0.45">
      <c r="A263" s="7"/>
      <c r="B263" s="7"/>
      <c r="C263" s="8" t="s">
        <v>167</v>
      </c>
      <c r="D263" s="8"/>
      <c r="E263" s="8"/>
      <c r="F263" s="8">
        <v>20</v>
      </c>
    </row>
    <row r="264" spans="1:12" x14ac:dyDescent="0.45">
      <c r="A264" s="7"/>
      <c r="B264" s="7"/>
      <c r="C264" s="8" t="s">
        <v>168</v>
      </c>
      <c r="D264" s="8"/>
      <c r="E264" s="8"/>
      <c r="F264" s="8">
        <v>20</v>
      </c>
    </row>
    <row r="265" spans="1:12" x14ac:dyDescent="0.45">
      <c r="A265" s="7"/>
      <c r="B265" s="7"/>
      <c r="C265" s="8" t="s">
        <v>169</v>
      </c>
      <c r="D265" s="8"/>
      <c r="E265" s="8"/>
      <c r="F265" s="8">
        <v>20</v>
      </c>
    </row>
    <row r="266" spans="1:12" x14ac:dyDescent="0.45">
      <c r="A266" s="7"/>
      <c r="B266" s="7"/>
      <c r="C266" s="8" t="s">
        <v>170</v>
      </c>
      <c r="D266" s="8" t="s">
        <v>171</v>
      </c>
      <c r="E266" s="8"/>
      <c r="F266" s="8">
        <v>3</v>
      </c>
    </row>
    <row r="267" spans="1:12" x14ac:dyDescent="0.45">
      <c r="A267" s="7"/>
      <c r="B267" s="7"/>
      <c r="C267" s="8"/>
      <c r="D267" s="8" t="s">
        <v>96</v>
      </c>
      <c r="E267" s="8"/>
      <c r="F267" s="8">
        <v>3</v>
      </c>
    </row>
    <row r="268" spans="1:12" x14ac:dyDescent="0.45">
      <c r="A268" s="7"/>
      <c r="B268" s="7"/>
      <c r="C268" s="8"/>
      <c r="D268" s="8" t="s">
        <v>172</v>
      </c>
      <c r="E268" s="8"/>
      <c r="F268" s="8">
        <v>3</v>
      </c>
    </row>
    <row r="269" spans="1:12" x14ac:dyDescent="0.45">
      <c r="A269" s="7"/>
      <c r="B269" s="7"/>
      <c r="C269" s="8"/>
      <c r="D269" s="8" t="s">
        <v>173</v>
      </c>
      <c r="E269" s="8"/>
      <c r="F269" s="8">
        <v>3</v>
      </c>
    </row>
    <row r="270" spans="1:12" x14ac:dyDescent="0.45">
      <c r="A270" s="7"/>
      <c r="B270" s="7"/>
      <c r="C270" s="8"/>
      <c r="D270" s="8" t="s">
        <v>174</v>
      </c>
      <c r="E270" s="8"/>
      <c r="F270" s="8">
        <v>3</v>
      </c>
    </row>
    <row r="271" spans="1:12" x14ac:dyDescent="0.45">
      <c r="A271" s="8"/>
      <c r="B271" s="8"/>
      <c r="C271" s="8"/>
      <c r="D271" s="15" t="s">
        <v>68</v>
      </c>
      <c r="E271" s="15">
        <f>-SUM(E256:E260)</f>
        <v>0</v>
      </c>
      <c r="F271" s="8"/>
    </row>
    <row r="272" spans="1:12" ht="15" x14ac:dyDescent="0.45">
      <c r="E272">
        <f>SUM(E256:E271)</f>
        <v>0</v>
      </c>
      <c r="F272">
        <f>SUM(F256:F270)</f>
        <v>135</v>
      </c>
      <c r="K272" s="12"/>
      <c r="L272" s="12"/>
    </row>
    <row r="273" spans="1:12" x14ac:dyDescent="0.45">
      <c r="A273" s="7" t="s">
        <v>179</v>
      </c>
      <c r="B273" s="7"/>
      <c r="C273" s="8" t="s">
        <v>180</v>
      </c>
      <c r="D273" s="8"/>
      <c r="E273" s="8" t="s">
        <v>34</v>
      </c>
      <c r="F273" s="8">
        <v>10</v>
      </c>
    </row>
    <row r="274" spans="1:12" x14ac:dyDescent="0.45">
      <c r="A274" s="8"/>
      <c r="B274" s="8"/>
      <c r="C274" s="8" t="s">
        <v>181</v>
      </c>
      <c r="D274" s="8"/>
      <c r="E274" s="8"/>
      <c r="F274" s="8">
        <v>5</v>
      </c>
    </row>
    <row r="275" spans="1:12" x14ac:dyDescent="0.45">
      <c r="A275" s="7"/>
      <c r="B275" s="8"/>
      <c r="C275" s="8" t="s">
        <v>182</v>
      </c>
      <c r="D275" s="8"/>
      <c r="E275" s="8"/>
      <c r="F275" s="8">
        <v>5</v>
      </c>
    </row>
    <row r="276" spans="1:12" x14ac:dyDescent="0.45">
      <c r="A276" s="8"/>
      <c r="B276" s="8"/>
      <c r="C276" s="8" t="s">
        <v>183</v>
      </c>
      <c r="D276" s="8"/>
      <c r="E276" s="8" t="s">
        <v>34</v>
      </c>
      <c r="F276" s="8">
        <v>5</v>
      </c>
    </row>
    <row r="277" spans="1:12" x14ac:dyDescent="0.45">
      <c r="A277" s="8"/>
      <c r="B277" s="8"/>
      <c r="C277" s="8" t="s">
        <v>184</v>
      </c>
      <c r="D277" s="8"/>
      <c r="E277" s="8" t="s">
        <v>34</v>
      </c>
      <c r="F277" s="8">
        <v>5</v>
      </c>
    </row>
    <row r="278" spans="1:12" x14ac:dyDescent="0.45">
      <c r="A278" s="7"/>
      <c r="B278" s="8"/>
      <c r="C278" s="8" t="s">
        <v>185</v>
      </c>
      <c r="D278" s="8"/>
      <c r="E278" s="8" t="s">
        <v>34</v>
      </c>
      <c r="F278" s="8">
        <v>10</v>
      </c>
    </row>
    <row r="279" spans="1:12" x14ac:dyDescent="0.45">
      <c r="A279" s="7"/>
      <c r="B279" s="8"/>
      <c r="C279" s="8" t="s">
        <v>186</v>
      </c>
      <c r="D279" s="8"/>
      <c r="E279" s="8" t="s">
        <v>34</v>
      </c>
      <c r="F279" s="8">
        <v>10</v>
      </c>
    </row>
    <row r="280" spans="1:12" x14ac:dyDescent="0.45">
      <c r="A280" s="8"/>
      <c r="B280" s="8"/>
      <c r="C280" s="8"/>
      <c r="D280" s="15" t="s">
        <v>68</v>
      </c>
      <c r="E280" s="15">
        <f>-SUM(E273:E279)</f>
        <v>0</v>
      </c>
      <c r="F280" s="8"/>
    </row>
    <row r="281" spans="1:12" ht="15" x14ac:dyDescent="0.45">
      <c r="E281">
        <f>SUM(E273:E280)</f>
        <v>0</v>
      </c>
      <c r="F281">
        <f>SUM(F273:F279)</f>
        <v>50</v>
      </c>
      <c r="K281" s="12"/>
      <c r="L281" s="12"/>
    </row>
    <row r="282" spans="1:12" ht="15" x14ac:dyDescent="0.45">
      <c r="K282" s="12"/>
      <c r="L282" s="12"/>
    </row>
    <row r="283" spans="1:12" ht="15" x14ac:dyDescent="0.45">
      <c r="K283" s="12"/>
      <c r="L283" s="12"/>
    </row>
    <row r="285" spans="1:12" s="12" customFormat="1" ht="18" x14ac:dyDescent="0.55000000000000004">
      <c r="A285" s="5" t="s">
        <v>187</v>
      </c>
      <c r="K285"/>
      <c r="L285"/>
    </row>
    <row r="286" spans="1:12" x14ac:dyDescent="0.45">
      <c r="A286" s="8" t="s">
        <v>188</v>
      </c>
      <c r="B286" s="8" t="s">
        <v>189</v>
      </c>
      <c r="C286" s="8" t="s">
        <v>3</v>
      </c>
      <c r="D286" s="8"/>
      <c r="E286" s="8">
        <v>0</v>
      </c>
      <c r="F286" s="8">
        <v>4</v>
      </c>
    </row>
    <row r="287" spans="1:12" x14ac:dyDescent="0.45">
      <c r="A287" s="8"/>
      <c r="B287" s="8"/>
      <c r="C287" s="8" t="s">
        <v>95</v>
      </c>
      <c r="D287" s="8"/>
      <c r="E287" s="8">
        <v>0</v>
      </c>
      <c r="F287" s="8">
        <v>4</v>
      </c>
    </row>
    <row r="288" spans="1:12" x14ac:dyDescent="0.45">
      <c r="A288" s="8"/>
      <c r="B288" s="8"/>
      <c r="C288" s="8" t="s">
        <v>82</v>
      </c>
      <c r="D288" s="8"/>
      <c r="E288" s="8">
        <v>0</v>
      </c>
      <c r="F288" s="8">
        <v>4</v>
      </c>
    </row>
    <row r="289" spans="1:13" x14ac:dyDescent="0.45">
      <c r="A289" s="8"/>
      <c r="B289" s="8"/>
      <c r="C289" s="8" t="s">
        <v>190</v>
      </c>
      <c r="D289" s="8"/>
      <c r="E289" s="8">
        <v>0</v>
      </c>
      <c r="F289" s="8">
        <v>4</v>
      </c>
    </row>
    <row r="290" spans="1:13" x14ac:dyDescent="0.45">
      <c r="A290" s="8"/>
      <c r="B290" s="8"/>
      <c r="C290" s="8" t="s">
        <v>191</v>
      </c>
      <c r="D290" s="8"/>
      <c r="E290" s="8">
        <v>0</v>
      </c>
      <c r="F290" s="8">
        <v>4</v>
      </c>
    </row>
    <row r="291" spans="1:13" x14ac:dyDescent="0.45">
      <c r="A291" s="8"/>
      <c r="B291" s="8"/>
      <c r="C291" s="8" t="s">
        <v>78</v>
      </c>
      <c r="D291" s="8"/>
      <c r="E291" s="8">
        <v>0</v>
      </c>
      <c r="F291" s="8">
        <v>20</v>
      </c>
    </row>
    <row r="292" spans="1:13" x14ac:dyDescent="0.45">
      <c r="A292" s="8"/>
      <c r="B292" s="8"/>
      <c r="C292" s="8"/>
      <c r="D292" s="15" t="s">
        <v>68</v>
      </c>
      <c r="E292" s="15">
        <f>-SUM(E286:E291)</f>
        <v>0</v>
      </c>
      <c r="F292" s="8"/>
    </row>
    <row r="293" spans="1:13" x14ac:dyDescent="0.45">
      <c r="E293">
        <f>SUM(E286:E292)</f>
        <v>0</v>
      </c>
      <c r="F293">
        <f>SUM(F286:F291)</f>
        <v>40</v>
      </c>
    </row>
    <row r="294" spans="1:13" x14ac:dyDescent="0.45">
      <c r="A294" s="7" t="s">
        <v>1</v>
      </c>
      <c r="B294" s="7"/>
      <c r="C294" s="21" t="s">
        <v>192</v>
      </c>
      <c r="D294" s="8"/>
      <c r="E294" s="8"/>
      <c r="F294" s="8">
        <v>10</v>
      </c>
    </row>
    <row r="295" spans="1:13" x14ac:dyDescent="0.45">
      <c r="A295" s="7"/>
      <c r="B295" s="7"/>
      <c r="C295" s="21" t="s">
        <v>78</v>
      </c>
      <c r="D295" s="8"/>
      <c r="E295" s="8"/>
      <c r="F295" s="8">
        <v>5</v>
      </c>
    </row>
    <row r="296" spans="1:13" x14ac:dyDescent="0.45">
      <c r="A296" s="7"/>
      <c r="B296" s="7"/>
      <c r="C296" s="21" t="s">
        <v>82</v>
      </c>
      <c r="D296" s="8"/>
      <c r="E296" s="8"/>
      <c r="F296" s="8">
        <v>5</v>
      </c>
    </row>
    <row r="297" spans="1:13" x14ac:dyDescent="0.45">
      <c r="A297" s="7"/>
      <c r="B297" s="7"/>
      <c r="C297" s="8"/>
      <c r="D297" s="8"/>
      <c r="E297" s="8"/>
      <c r="F297" s="8"/>
    </row>
    <row r="298" spans="1:13" x14ac:dyDescent="0.45">
      <c r="A298" s="7"/>
      <c r="B298" s="7"/>
      <c r="C298" s="8"/>
      <c r="D298" s="15" t="s">
        <v>68</v>
      </c>
      <c r="E298" s="15">
        <f>-SUM(E294:E297)</f>
        <v>0</v>
      </c>
      <c r="F298" s="8"/>
    </row>
    <row r="299" spans="1:13" x14ac:dyDescent="0.45">
      <c r="A299" s="1"/>
      <c r="B299" s="1"/>
      <c r="E299">
        <f>-SUM(E294:E298)</f>
        <v>0</v>
      </c>
      <c r="F299">
        <f>SUM(F294:F297)</f>
        <v>20</v>
      </c>
      <c r="M299" s="14"/>
    </row>
    <row r="302" spans="1:13" ht="18" x14ac:dyDescent="0.55000000000000004">
      <c r="A302" s="5" t="s">
        <v>193</v>
      </c>
    </row>
    <row r="303" spans="1:13" x14ac:dyDescent="0.45">
      <c r="A303" s="7" t="s">
        <v>193</v>
      </c>
      <c r="B303" s="8" t="s">
        <v>78</v>
      </c>
      <c r="C303" s="8"/>
      <c r="D303" s="8"/>
      <c r="E303" s="8"/>
      <c r="F303" s="8">
        <v>15</v>
      </c>
    </row>
    <row r="304" spans="1:13" x14ac:dyDescent="0.45">
      <c r="A304" s="7"/>
      <c r="B304" s="8" t="s">
        <v>194</v>
      </c>
      <c r="C304" s="8"/>
      <c r="D304" s="8"/>
      <c r="E304" s="8"/>
      <c r="F304" s="8">
        <v>50</v>
      </c>
    </row>
    <row r="305" spans="1:8" x14ac:dyDescent="0.45">
      <c r="A305" s="7"/>
      <c r="B305" s="8" t="s">
        <v>195</v>
      </c>
      <c r="C305" s="8"/>
      <c r="D305" s="8"/>
      <c r="E305" s="8"/>
      <c r="F305" s="8">
        <v>5</v>
      </c>
    </row>
    <row r="306" spans="1:8" x14ac:dyDescent="0.45">
      <c r="A306" s="7"/>
      <c r="B306" s="8" t="s">
        <v>196</v>
      </c>
      <c r="C306" s="8" t="s">
        <v>197</v>
      </c>
      <c r="D306" s="8"/>
      <c r="E306" s="8"/>
      <c r="F306" s="8">
        <v>5</v>
      </c>
    </row>
    <row r="307" spans="1:8" x14ac:dyDescent="0.45">
      <c r="A307" s="7"/>
      <c r="B307" s="8"/>
      <c r="C307" s="8" t="s">
        <v>79</v>
      </c>
      <c r="D307" s="8"/>
      <c r="E307" s="8"/>
      <c r="F307" s="8">
        <v>5</v>
      </c>
    </row>
    <row r="308" spans="1:8" x14ac:dyDescent="0.45">
      <c r="A308" s="7"/>
      <c r="B308" s="8" t="s">
        <v>95</v>
      </c>
      <c r="C308" s="8" t="s">
        <v>198</v>
      </c>
      <c r="D308" s="8"/>
      <c r="E308" s="8"/>
      <c r="F308" s="8">
        <v>5</v>
      </c>
    </row>
    <row r="309" spans="1:8" x14ac:dyDescent="0.45">
      <c r="A309" s="7"/>
      <c r="B309" s="8"/>
      <c r="C309" s="8" t="s">
        <v>199</v>
      </c>
      <c r="D309" s="8"/>
      <c r="E309" s="8"/>
      <c r="F309" s="8">
        <v>5</v>
      </c>
    </row>
    <row r="310" spans="1:8" x14ac:dyDescent="0.45">
      <c r="A310" s="7"/>
      <c r="B310" s="8"/>
      <c r="C310" s="8" t="s">
        <v>200</v>
      </c>
      <c r="D310" s="8"/>
      <c r="E310" s="8"/>
      <c r="F310" s="8">
        <v>5</v>
      </c>
    </row>
    <row r="311" spans="1:8" x14ac:dyDescent="0.45">
      <c r="A311" s="7"/>
      <c r="B311" s="8"/>
      <c r="C311" s="8" t="s">
        <v>201</v>
      </c>
      <c r="D311" s="8"/>
      <c r="E311" s="8"/>
      <c r="F311" s="8">
        <v>5</v>
      </c>
    </row>
    <row r="312" spans="1:8" x14ac:dyDescent="0.45">
      <c r="A312" s="7"/>
      <c r="B312" s="8"/>
      <c r="C312" s="8" t="s">
        <v>82</v>
      </c>
      <c r="D312" s="8"/>
      <c r="E312" s="8"/>
      <c r="F312" s="8">
        <v>5</v>
      </c>
    </row>
    <row r="313" spans="1:8" x14ac:dyDescent="0.45">
      <c r="A313" s="7"/>
      <c r="B313" s="8"/>
      <c r="C313" s="8"/>
      <c r="D313" s="15" t="s">
        <v>68</v>
      </c>
      <c r="E313" s="15">
        <f>-SUM(E255:E312)</f>
        <v>0</v>
      </c>
      <c r="F313" s="8"/>
    </row>
    <row r="314" spans="1:8" x14ac:dyDescent="0.45">
      <c r="A314" s="1"/>
      <c r="E314">
        <f>SUM(E303:E313)</f>
        <v>0</v>
      </c>
      <c r="F314">
        <f>SUM(F303:F312)</f>
        <v>105</v>
      </c>
    </row>
    <row r="315" spans="1:8" x14ac:dyDescent="0.45">
      <c r="A315" s="1"/>
    </row>
    <row r="316" spans="1:8" x14ac:dyDescent="0.45">
      <c r="A316" s="7" t="s">
        <v>202</v>
      </c>
      <c r="B316" s="8" t="s">
        <v>203</v>
      </c>
      <c r="C316" s="8"/>
      <c r="D316" s="8"/>
      <c r="E316" s="8"/>
      <c r="F316" s="8">
        <v>100</v>
      </c>
      <c r="H316" s="33" t="s">
        <v>46</v>
      </c>
    </row>
    <row r="317" spans="1:8" x14ac:dyDescent="0.45">
      <c r="A317" s="8"/>
      <c r="B317" s="8" t="s">
        <v>204</v>
      </c>
      <c r="C317" s="8"/>
      <c r="D317" s="8"/>
      <c r="E317" s="8"/>
      <c r="F317" s="8">
        <v>100</v>
      </c>
      <c r="H317" s="33"/>
    </row>
    <row r="318" spans="1:8" x14ac:dyDescent="0.45">
      <c r="A318" s="8"/>
      <c r="B318" s="8" t="s">
        <v>205</v>
      </c>
      <c r="C318" s="8"/>
      <c r="D318" s="8"/>
      <c r="E318" s="8"/>
      <c r="F318" s="8">
        <v>100</v>
      </c>
      <c r="H318" s="33"/>
    </row>
    <row r="319" spans="1:8" x14ac:dyDescent="0.45">
      <c r="A319" s="8"/>
      <c r="B319" s="8" t="s">
        <v>206</v>
      </c>
      <c r="C319" s="8"/>
      <c r="D319" s="8"/>
      <c r="E319" s="8"/>
      <c r="F319" s="8">
        <v>100</v>
      </c>
      <c r="H319" s="33"/>
    </row>
    <row r="320" spans="1:8" x14ac:dyDescent="0.45">
      <c r="A320" s="7" t="s">
        <v>207</v>
      </c>
      <c r="B320" s="8"/>
      <c r="C320" s="8"/>
      <c r="D320" s="8"/>
      <c r="E320" s="8"/>
      <c r="F320" s="8"/>
      <c r="H320" s="33"/>
    </row>
    <row r="321" spans="1:8" x14ac:dyDescent="0.45">
      <c r="A321" s="7"/>
      <c r="B321" s="8" t="s">
        <v>208</v>
      </c>
      <c r="C321" s="8"/>
      <c r="D321" s="8"/>
      <c r="E321" s="8"/>
      <c r="F321" s="8">
        <v>50</v>
      </c>
      <c r="H321" s="33"/>
    </row>
    <row r="322" spans="1:8" x14ac:dyDescent="0.45">
      <c r="A322" s="8"/>
      <c r="B322" s="8" t="s">
        <v>209</v>
      </c>
      <c r="C322" s="8"/>
      <c r="D322" s="8"/>
      <c r="E322" s="8">
        <v>-300</v>
      </c>
      <c r="F322" s="8">
        <v>0</v>
      </c>
      <c r="H322" s="33"/>
    </row>
    <row r="323" spans="1:8" x14ac:dyDescent="0.45">
      <c r="A323" s="8"/>
      <c r="B323" s="8" t="s">
        <v>210</v>
      </c>
      <c r="C323" s="8"/>
      <c r="D323" s="8"/>
      <c r="E323" s="8">
        <v>-300</v>
      </c>
      <c r="F323" s="8">
        <v>0</v>
      </c>
      <c r="H323" s="33"/>
    </row>
    <row r="324" spans="1:8" x14ac:dyDescent="0.45">
      <c r="A324" s="8"/>
      <c r="B324" s="8" t="s">
        <v>211</v>
      </c>
      <c r="C324" s="8"/>
      <c r="D324" s="8"/>
      <c r="E324" s="8">
        <v>-300</v>
      </c>
      <c r="F324" s="8">
        <v>100</v>
      </c>
      <c r="H324" s="33"/>
    </row>
    <row r="325" spans="1:8" x14ac:dyDescent="0.45">
      <c r="A325" s="8"/>
      <c r="B325" s="8"/>
      <c r="C325" s="8"/>
      <c r="D325" s="8"/>
      <c r="E325" s="8"/>
      <c r="F325" s="8"/>
      <c r="H325" s="33"/>
    </row>
    <row r="326" spans="1:8" x14ac:dyDescent="0.45">
      <c r="A326" s="8"/>
      <c r="B326" s="8"/>
      <c r="C326" s="8"/>
      <c r="D326" s="15" t="s">
        <v>68</v>
      </c>
      <c r="E326" s="15">
        <f>-SUM(E316:E321)</f>
        <v>0</v>
      </c>
      <c r="F326" s="8"/>
      <c r="H326" s="33"/>
    </row>
    <row r="327" spans="1:8" x14ac:dyDescent="0.45">
      <c r="E327">
        <f>SUM(E316:E326)</f>
        <v>-900</v>
      </c>
      <c r="F327">
        <f>SUM(F316:F325)</f>
        <v>550</v>
      </c>
      <c r="H327" s="33"/>
    </row>
    <row r="328" spans="1:8" ht="18" x14ac:dyDescent="0.55000000000000004">
      <c r="A328" s="5" t="s">
        <v>56</v>
      </c>
    </row>
    <row r="329" spans="1:8" x14ac:dyDescent="0.45">
      <c r="A329" s="8" t="s">
        <v>50</v>
      </c>
      <c r="B329" s="8" t="s">
        <v>51</v>
      </c>
      <c r="C329" s="8"/>
      <c r="D329" s="8"/>
      <c r="E329" s="8">
        <v>-50</v>
      </c>
      <c r="F329" s="8">
        <v>0</v>
      </c>
    </row>
    <row r="330" spans="1:8" x14ac:dyDescent="0.45">
      <c r="A330" s="8"/>
      <c r="B330" s="8" t="s">
        <v>103</v>
      </c>
      <c r="C330" s="8"/>
      <c r="D330" s="8"/>
      <c r="E330" s="8">
        <v>-50</v>
      </c>
      <c r="F330" s="8">
        <v>0</v>
      </c>
    </row>
    <row r="331" spans="1:8" x14ac:dyDescent="0.45">
      <c r="A331" s="8"/>
      <c r="B331" s="8" t="s">
        <v>95</v>
      </c>
      <c r="C331" s="8"/>
      <c r="D331" s="8"/>
      <c r="E331" s="8"/>
      <c r="F331" s="8">
        <v>20</v>
      </c>
    </row>
    <row r="332" spans="1:8" x14ac:dyDescent="0.45">
      <c r="A332" s="8"/>
      <c r="B332" s="8" t="s">
        <v>212</v>
      </c>
      <c r="C332" s="8"/>
      <c r="D332" s="8"/>
      <c r="E332" s="8">
        <v>-50</v>
      </c>
      <c r="F332" s="8">
        <v>0</v>
      </c>
    </row>
    <row r="333" spans="1:8" x14ac:dyDescent="0.45">
      <c r="A333" s="8"/>
      <c r="B333" s="8" t="s">
        <v>213</v>
      </c>
      <c r="C333" s="8"/>
      <c r="D333" s="8"/>
      <c r="E333" s="8"/>
      <c r="F333" s="8">
        <v>20</v>
      </c>
    </row>
    <row r="334" spans="1:8" x14ac:dyDescent="0.45">
      <c r="A334" s="8"/>
      <c r="B334" s="8" t="s">
        <v>216</v>
      </c>
      <c r="C334" s="8"/>
      <c r="D334" s="8"/>
      <c r="E334" s="8">
        <v>-50</v>
      </c>
      <c r="F334" s="8">
        <v>0</v>
      </c>
    </row>
    <row r="335" spans="1:8" x14ac:dyDescent="0.45">
      <c r="A335" s="8"/>
      <c r="B335" s="8" t="s">
        <v>215</v>
      </c>
      <c r="C335" s="8"/>
      <c r="D335" s="8"/>
      <c r="E335" s="8"/>
      <c r="F335" s="8">
        <v>20</v>
      </c>
    </row>
    <row r="336" spans="1:8" x14ac:dyDescent="0.45">
      <c r="A336" s="8"/>
      <c r="B336" s="8" t="s">
        <v>214</v>
      </c>
      <c r="C336" s="8"/>
      <c r="D336" s="8"/>
      <c r="E336" s="8"/>
      <c r="F336" s="8">
        <v>20</v>
      </c>
    </row>
    <row r="337" spans="1:6" x14ac:dyDescent="0.45">
      <c r="A337" s="8"/>
      <c r="B337" s="8"/>
      <c r="C337" s="8"/>
      <c r="D337" s="15" t="s">
        <v>68</v>
      </c>
      <c r="E337" s="15">
        <f>-SUM(E329:E336)*0</f>
        <v>0</v>
      </c>
      <c r="F337" s="8"/>
    </row>
    <row r="338" spans="1:6" x14ac:dyDescent="0.45">
      <c r="E338">
        <f>SUM(E329:E337)</f>
        <v>-200</v>
      </c>
      <c r="F338">
        <f>SUM(F329:F336)</f>
        <v>80</v>
      </c>
    </row>
    <row r="340" spans="1:6" x14ac:dyDescent="0.45">
      <c r="A340" s="8" t="s">
        <v>10</v>
      </c>
      <c r="B340" s="8" t="s">
        <v>48</v>
      </c>
      <c r="C340" s="8"/>
      <c r="D340" s="8"/>
      <c r="E340" s="8">
        <v>-50</v>
      </c>
      <c r="F340" s="8">
        <v>0</v>
      </c>
    </row>
    <row r="341" spans="1:6" x14ac:dyDescent="0.45">
      <c r="A341" s="8"/>
      <c r="B341" s="8" t="s">
        <v>49</v>
      </c>
      <c r="C341" s="8"/>
      <c r="D341" s="8"/>
      <c r="E341" s="8">
        <v>-50</v>
      </c>
      <c r="F341" s="8">
        <v>0</v>
      </c>
    </row>
    <row r="342" spans="1:6" x14ac:dyDescent="0.45">
      <c r="A342" s="8"/>
      <c r="B342" s="8" t="s">
        <v>47</v>
      </c>
      <c r="C342" s="8"/>
      <c r="D342" s="8"/>
      <c r="E342" s="8">
        <v>-50</v>
      </c>
      <c r="F342" s="8">
        <v>0</v>
      </c>
    </row>
    <row r="343" spans="1:6" x14ac:dyDescent="0.45">
      <c r="A343" s="8"/>
      <c r="B343" s="8" t="s">
        <v>39</v>
      </c>
      <c r="C343" s="8"/>
      <c r="D343" s="8"/>
      <c r="E343" s="8">
        <v>-50</v>
      </c>
      <c r="F343" s="8">
        <v>0</v>
      </c>
    </row>
    <row r="344" spans="1:6" x14ac:dyDescent="0.45">
      <c r="A344" s="8"/>
      <c r="B344" s="8"/>
      <c r="C344" s="8"/>
      <c r="D344" s="15" t="s">
        <v>68</v>
      </c>
      <c r="E344" s="15">
        <f>-SUM(E340:E343)*0</f>
        <v>0</v>
      </c>
      <c r="F344" s="8">
        <v>0</v>
      </c>
    </row>
    <row r="345" spans="1:6" x14ac:dyDescent="0.45">
      <c r="E345">
        <f>SUM(E340:E344)</f>
        <v>-200</v>
      </c>
      <c r="F345">
        <f>SUM(F340:F344)</f>
        <v>0</v>
      </c>
    </row>
    <row r="346" spans="1:6" x14ac:dyDescent="0.45">
      <c r="A346" s="7" t="s">
        <v>56</v>
      </c>
      <c r="B346" s="7"/>
      <c r="C346" s="8" t="s">
        <v>217</v>
      </c>
      <c r="D346" s="8" t="s">
        <v>219</v>
      </c>
      <c r="E346" s="8">
        <v>-20</v>
      </c>
      <c r="F346" s="8">
        <v>0</v>
      </c>
    </row>
    <row r="347" spans="1:6" x14ac:dyDescent="0.45">
      <c r="A347" s="7"/>
      <c r="B347" s="7"/>
      <c r="C347" s="8"/>
      <c r="D347" s="8" t="s">
        <v>220</v>
      </c>
      <c r="E347" s="8">
        <v>-20</v>
      </c>
      <c r="F347" s="8">
        <v>0</v>
      </c>
    </row>
    <row r="348" spans="1:6" x14ac:dyDescent="0.45">
      <c r="A348" s="7"/>
      <c r="B348" s="7"/>
      <c r="C348" s="8"/>
      <c r="D348" s="8" t="s">
        <v>221</v>
      </c>
      <c r="E348" s="8">
        <v>-20</v>
      </c>
      <c r="F348" s="8">
        <v>0</v>
      </c>
    </row>
    <row r="349" spans="1:6" x14ac:dyDescent="0.45">
      <c r="A349" s="7"/>
      <c r="B349" s="7"/>
      <c r="C349" s="8" t="s">
        <v>218</v>
      </c>
      <c r="D349" s="8" t="s">
        <v>222</v>
      </c>
      <c r="E349" s="8">
        <v>-20</v>
      </c>
      <c r="F349" s="8">
        <v>0</v>
      </c>
    </row>
    <row r="350" spans="1:6" x14ac:dyDescent="0.45">
      <c r="A350" s="7"/>
      <c r="B350" s="7"/>
      <c r="C350" s="8" t="s">
        <v>227</v>
      </c>
      <c r="D350" s="8" t="s">
        <v>223</v>
      </c>
      <c r="E350" s="8">
        <v>-20</v>
      </c>
      <c r="F350" s="8">
        <v>0</v>
      </c>
    </row>
    <row r="351" spans="1:6" x14ac:dyDescent="0.45">
      <c r="A351" s="7"/>
      <c r="B351" s="7"/>
      <c r="C351" s="8"/>
      <c r="D351" s="8" t="s">
        <v>224</v>
      </c>
      <c r="E351" s="8">
        <v>-20</v>
      </c>
      <c r="F351" s="8">
        <v>0</v>
      </c>
    </row>
    <row r="352" spans="1:6" x14ac:dyDescent="0.45">
      <c r="A352" s="7"/>
      <c r="B352" s="7"/>
      <c r="C352" s="8"/>
      <c r="D352" s="8" t="s">
        <v>225</v>
      </c>
      <c r="E352" s="8">
        <v>-20</v>
      </c>
      <c r="F352" s="8">
        <v>0</v>
      </c>
    </row>
    <row r="353" spans="1:6" x14ac:dyDescent="0.45">
      <c r="A353" s="7"/>
      <c r="B353" s="7"/>
      <c r="C353" s="8"/>
      <c r="D353" s="8" t="s">
        <v>226</v>
      </c>
      <c r="E353" s="8">
        <v>0</v>
      </c>
      <c r="F353" s="8">
        <v>20</v>
      </c>
    </row>
    <row r="354" spans="1:6" x14ac:dyDescent="0.45">
      <c r="E354">
        <f>SUM(E346:E353)</f>
        <v>-140</v>
      </c>
      <c r="F354">
        <f>SUM(F346:F353)</f>
        <v>20</v>
      </c>
    </row>
    <row r="355" spans="1:6" ht="18" x14ac:dyDescent="0.55000000000000004">
      <c r="A355" s="5" t="s">
        <v>228</v>
      </c>
    </row>
    <row r="356" spans="1:6" x14ac:dyDescent="0.45">
      <c r="A356" s="7" t="s">
        <v>81</v>
      </c>
      <c r="B356" s="7" t="s">
        <v>56</v>
      </c>
      <c r="C356" s="8" t="s">
        <v>99</v>
      </c>
      <c r="D356" s="8"/>
      <c r="E356" s="8"/>
      <c r="F356" s="8">
        <v>10</v>
      </c>
    </row>
    <row r="357" spans="1:6" x14ac:dyDescent="0.45">
      <c r="A357" s="7"/>
      <c r="B357" s="8"/>
      <c r="C357" s="8" t="s">
        <v>229</v>
      </c>
      <c r="D357" s="8"/>
      <c r="E357" s="8"/>
      <c r="F357" s="8">
        <v>10</v>
      </c>
    </row>
    <row r="358" spans="1:6" x14ac:dyDescent="0.45">
      <c r="A358" s="8"/>
      <c r="B358" s="7" t="s">
        <v>57</v>
      </c>
      <c r="C358" s="8" t="s">
        <v>103</v>
      </c>
      <c r="D358" s="8"/>
      <c r="E358" s="8"/>
      <c r="F358" s="8">
        <v>5</v>
      </c>
    </row>
    <row r="359" spans="1:6" x14ac:dyDescent="0.45">
      <c r="A359" s="8"/>
      <c r="B359" s="8"/>
      <c r="C359" s="8" t="s">
        <v>230</v>
      </c>
      <c r="D359" s="8"/>
      <c r="E359" s="8"/>
      <c r="F359" s="8">
        <v>5</v>
      </c>
    </row>
    <row r="360" spans="1:6" x14ac:dyDescent="0.45">
      <c r="A360" s="8"/>
      <c r="B360" s="8"/>
      <c r="C360" s="8" t="s">
        <v>104</v>
      </c>
      <c r="D360" s="8"/>
      <c r="E360" s="8"/>
      <c r="F360" s="8">
        <v>10</v>
      </c>
    </row>
    <row r="361" spans="1:6" x14ac:dyDescent="0.45">
      <c r="A361" s="8"/>
      <c r="B361" s="8"/>
      <c r="C361" s="8" t="s">
        <v>231</v>
      </c>
      <c r="D361" s="8"/>
      <c r="E361" s="8"/>
      <c r="F361" s="8">
        <v>5</v>
      </c>
    </row>
    <row r="362" spans="1:6" x14ac:dyDescent="0.45">
      <c r="A362" s="8"/>
      <c r="B362" s="8"/>
      <c r="C362" s="8" t="s">
        <v>106</v>
      </c>
      <c r="D362" s="8"/>
      <c r="E362" s="8"/>
      <c r="F362" s="8">
        <v>5</v>
      </c>
    </row>
    <row r="363" spans="1:6" x14ac:dyDescent="0.45">
      <c r="A363" s="8"/>
      <c r="B363" s="8"/>
      <c r="C363" s="8"/>
      <c r="D363" s="15" t="s">
        <v>68</v>
      </c>
      <c r="E363" s="15">
        <f>-SUM(E360:E362)</f>
        <v>0</v>
      </c>
    </row>
    <row r="364" spans="1:6" x14ac:dyDescent="0.45">
      <c r="E364">
        <f>SUM(E356:E363)</f>
        <v>0</v>
      </c>
      <c r="F364">
        <f>SUM(F356:F363)</f>
        <v>50</v>
      </c>
    </row>
    <row r="365" spans="1:6" x14ac:dyDescent="0.45">
      <c r="A365" s="1" t="s">
        <v>232</v>
      </c>
    </row>
    <row r="366" spans="1:6" x14ac:dyDescent="0.45">
      <c r="A366" s="7" t="s">
        <v>233</v>
      </c>
      <c r="B366" s="8" t="s">
        <v>235</v>
      </c>
      <c r="C366" s="8"/>
      <c r="D366" s="8"/>
      <c r="E366" s="8">
        <v>0</v>
      </c>
      <c r="F366" s="8">
        <v>10</v>
      </c>
    </row>
    <row r="367" spans="1:6" x14ac:dyDescent="0.45">
      <c r="A367" s="7" t="s">
        <v>234</v>
      </c>
      <c r="B367" s="8" t="s">
        <v>82</v>
      </c>
      <c r="C367" s="8" t="s">
        <v>173</v>
      </c>
      <c r="D367" s="8"/>
      <c r="E367" s="8">
        <v>0</v>
      </c>
      <c r="F367" s="8">
        <v>50</v>
      </c>
    </row>
    <row r="368" spans="1:6" x14ac:dyDescent="0.45">
      <c r="A368" s="7"/>
      <c r="B368" s="8"/>
      <c r="C368" s="8" t="s">
        <v>236</v>
      </c>
      <c r="D368" s="8"/>
      <c r="E368" s="8">
        <v>0</v>
      </c>
      <c r="F368" s="8">
        <v>40</v>
      </c>
    </row>
    <row r="369" spans="1:6" x14ac:dyDescent="0.45">
      <c r="A369" s="7"/>
      <c r="B369" s="8"/>
      <c r="C369" s="8"/>
      <c r="D369" s="15" t="s">
        <v>68</v>
      </c>
      <c r="E369" s="15">
        <f>-SUM(E361:E368)</f>
        <v>0</v>
      </c>
      <c r="F369" s="8"/>
    </row>
    <row r="370" spans="1:6" x14ac:dyDescent="0.45">
      <c r="E370">
        <f>SUM(E366:E369)</f>
        <v>0</v>
      </c>
      <c r="F370">
        <f>SUM(F366:F369)</f>
        <v>100</v>
      </c>
    </row>
    <row r="372" spans="1:6" ht="18" x14ac:dyDescent="0.55000000000000004">
      <c r="A372" s="5" t="s">
        <v>31</v>
      </c>
    </row>
    <row r="373" spans="1:6" x14ac:dyDescent="0.45">
      <c r="A373" s="7" t="s">
        <v>45</v>
      </c>
      <c r="B373" s="7" t="s">
        <v>287</v>
      </c>
      <c r="C373" s="8"/>
      <c r="D373" s="8"/>
      <c r="E373" s="8"/>
      <c r="F373" s="8">
        <v>50</v>
      </c>
    </row>
    <row r="374" spans="1:6" x14ac:dyDescent="0.45">
      <c r="A374" s="7"/>
      <c r="B374" s="7" t="s">
        <v>288</v>
      </c>
      <c r="C374" s="8"/>
      <c r="D374" s="8"/>
      <c r="E374" s="8"/>
      <c r="F374" s="8">
        <v>50</v>
      </c>
    </row>
    <row r="375" spans="1:6" x14ac:dyDescent="0.45">
      <c r="A375" s="7"/>
      <c r="B375" s="7" t="s">
        <v>289</v>
      </c>
      <c r="C375" s="8"/>
      <c r="D375" s="8"/>
      <c r="E375" s="8"/>
      <c r="F375" s="8">
        <v>50</v>
      </c>
    </row>
    <row r="376" spans="1:6" x14ac:dyDescent="0.45">
      <c r="A376" s="7"/>
      <c r="B376" s="7" t="s">
        <v>297</v>
      </c>
      <c r="C376" s="8"/>
      <c r="D376" s="8"/>
      <c r="E376" s="8"/>
      <c r="F376" s="8">
        <v>50</v>
      </c>
    </row>
    <row r="377" spans="1:6" x14ac:dyDescent="0.45">
      <c r="A377" s="7"/>
      <c r="B377" s="7" t="s">
        <v>294</v>
      </c>
      <c r="C377" s="8"/>
      <c r="D377" s="8"/>
      <c r="E377" s="8"/>
      <c r="F377" s="8">
        <v>50</v>
      </c>
    </row>
    <row r="378" spans="1:6" x14ac:dyDescent="0.45">
      <c r="A378" s="7"/>
      <c r="B378" s="7" t="s">
        <v>293</v>
      </c>
      <c r="C378" s="8"/>
      <c r="D378" s="8"/>
      <c r="E378" s="8"/>
      <c r="F378" s="8">
        <v>50</v>
      </c>
    </row>
    <row r="379" spans="1:6" x14ac:dyDescent="0.45">
      <c r="A379" s="7"/>
      <c r="B379" s="7" t="s">
        <v>296</v>
      </c>
      <c r="C379" s="8"/>
      <c r="D379" s="8"/>
      <c r="E379" s="8"/>
      <c r="F379" s="8">
        <v>50</v>
      </c>
    </row>
    <row r="380" spans="1:6" x14ac:dyDescent="0.45">
      <c r="A380" s="7"/>
      <c r="B380" s="7" t="s">
        <v>298</v>
      </c>
      <c r="C380" s="8"/>
      <c r="D380" s="8"/>
      <c r="E380" s="8"/>
      <c r="F380" s="8">
        <v>50</v>
      </c>
    </row>
    <row r="381" spans="1:6" x14ac:dyDescent="0.45">
      <c r="A381" s="7"/>
      <c r="B381" s="7"/>
      <c r="C381" s="8"/>
      <c r="D381" s="15" t="s">
        <v>68</v>
      </c>
      <c r="E381" s="15">
        <f>-SUM(E373:E380)</f>
        <v>0</v>
      </c>
      <c r="F381" s="8"/>
    </row>
    <row r="382" spans="1:6" x14ac:dyDescent="0.45">
      <c r="A382" s="1"/>
      <c r="B382" s="1"/>
      <c r="E382">
        <f>-SUM(E373:E381)</f>
        <v>0</v>
      </c>
      <c r="F382">
        <f>SUM(F373:F380)</f>
        <v>400</v>
      </c>
    </row>
    <row r="387" spans="1:8" x14ac:dyDescent="0.45">
      <c r="A387" s="7"/>
      <c r="B387" t="s">
        <v>242</v>
      </c>
      <c r="E387">
        <f>E382+E370+E364+E354+E345+E338+E327+E314+E299+E293+E281+E272+E251+E230+E221+E211+E199+E186+E174+E161+E148+E136+E130+E119+E111+E103+E95+E84+E73+E63+E46</f>
        <v>-1840</v>
      </c>
      <c r="F387">
        <f>F382+F370+F364+F354+F345+F338+F327+F314+F299+F293+F281+F272+F251+F230+F221+F211+F199+F186+F174+F161+F148+F136+F130+F119+F111+F103+F95+F84+F73+F63+F46</f>
        <v>3205</v>
      </c>
      <c r="H387" s="13">
        <f>E387/F387</f>
        <v>-0.57410296411856476</v>
      </c>
    </row>
    <row r="388" spans="1:8" x14ac:dyDescent="0.45">
      <c r="A388" s="9"/>
      <c r="B388" t="s">
        <v>237</v>
      </c>
      <c r="H388" s="13">
        <f>(E388+E387)/(F388+F387)</f>
        <v>-0.57410296411856476</v>
      </c>
    </row>
    <row r="389" spans="1:8" x14ac:dyDescent="0.45">
      <c r="A389" s="10"/>
      <c r="B389" t="s">
        <v>238</v>
      </c>
      <c r="H389" s="13">
        <f>(E389+E387)/(F389+F387)</f>
        <v>-0.57410296411856476</v>
      </c>
    </row>
    <row r="390" spans="1:8" x14ac:dyDescent="0.45">
      <c r="A390" s="11"/>
      <c r="B390" t="s">
        <v>239</v>
      </c>
      <c r="H390" s="13">
        <f>(E390+E387)/(F390+F387)</f>
        <v>-0.57410296411856476</v>
      </c>
    </row>
    <row r="391" spans="1:8" x14ac:dyDescent="0.45">
      <c r="A391" s="20"/>
      <c r="B391" t="s">
        <v>240</v>
      </c>
      <c r="H391" s="13">
        <f>(E391+E387)/(F391+F387)</f>
        <v>-0.57410296411856476</v>
      </c>
    </row>
    <row r="392" spans="1:8" x14ac:dyDescent="0.45">
      <c r="A392" s="22"/>
      <c r="B392" t="s">
        <v>241</v>
      </c>
      <c r="H392" s="13">
        <f>(E392+E387)/(F392+F387)</f>
        <v>-0.57410296411856476</v>
      </c>
    </row>
    <row r="394" spans="1:8" x14ac:dyDescent="0.45">
      <c r="F394" t="s">
        <v>244</v>
      </c>
      <c r="G394" t="s">
        <v>245</v>
      </c>
    </row>
    <row r="395" spans="1:8" x14ac:dyDescent="0.45">
      <c r="D395" t="s">
        <v>71</v>
      </c>
      <c r="G395" t="s">
        <v>30</v>
      </c>
    </row>
    <row r="396" spans="1:8" x14ac:dyDescent="0.45">
      <c r="F396" s="18">
        <v>0.45</v>
      </c>
      <c r="G396">
        <v>4</v>
      </c>
    </row>
    <row r="397" spans="1:8" x14ac:dyDescent="0.45">
      <c r="F397" s="18">
        <f>F396+(F405-F396)/9</f>
        <v>0.5</v>
      </c>
      <c r="G397">
        <v>3.7</v>
      </c>
    </row>
    <row r="398" spans="1:8" x14ac:dyDescent="0.45">
      <c r="F398" s="18">
        <f>F397+(F405-F396)/9</f>
        <v>0.55000000000000004</v>
      </c>
      <c r="G398">
        <v>3.3</v>
      </c>
    </row>
    <row r="399" spans="1:8" x14ac:dyDescent="0.45">
      <c r="F399" s="18">
        <f>F398+(F405-F396)/9</f>
        <v>0.60000000000000009</v>
      </c>
      <c r="G399">
        <v>3</v>
      </c>
    </row>
    <row r="400" spans="1:8" x14ac:dyDescent="0.45">
      <c r="F400" s="18">
        <f>F399+(F405-F396)/9</f>
        <v>0.65000000000000013</v>
      </c>
      <c r="G400">
        <v>2.7</v>
      </c>
    </row>
    <row r="401" spans="5:7" x14ac:dyDescent="0.45">
      <c r="F401" s="18">
        <f>F400+(F405-F396)/9</f>
        <v>0.70000000000000018</v>
      </c>
      <c r="G401">
        <v>2.2999999999999998</v>
      </c>
    </row>
    <row r="402" spans="5:7" x14ac:dyDescent="0.45">
      <c r="F402" s="18">
        <f>F401+(F405-F396)/9</f>
        <v>0.75000000000000022</v>
      </c>
      <c r="G402">
        <v>2</v>
      </c>
    </row>
    <row r="403" spans="5:7" x14ac:dyDescent="0.45">
      <c r="F403" s="18">
        <f>F402+(F405-F396)/9</f>
        <v>0.80000000000000027</v>
      </c>
      <c r="G403">
        <v>1.7</v>
      </c>
    </row>
    <row r="404" spans="5:7" x14ac:dyDescent="0.45">
      <c r="F404" s="18">
        <f>F403+(F405-F396)/9</f>
        <v>0.85000000000000031</v>
      </c>
      <c r="G404">
        <v>1.3</v>
      </c>
    </row>
    <row r="405" spans="5:7" x14ac:dyDescent="0.45">
      <c r="F405" s="18">
        <v>0.9</v>
      </c>
      <c r="G405">
        <v>1</v>
      </c>
    </row>
    <row r="406" spans="5:7" x14ac:dyDescent="0.45">
      <c r="E406" t="s">
        <v>246</v>
      </c>
    </row>
  </sheetData>
  <mergeCells count="5">
    <mergeCell ref="A7:C7"/>
    <mergeCell ref="G49:G62"/>
    <mergeCell ref="G140:G200"/>
    <mergeCell ref="G214:G230"/>
    <mergeCell ref="H316:H327"/>
  </mergeCells>
  <dataValidations count="2">
    <dataValidation allowBlank="1" showInputMessage="1" showErrorMessage="1" promptTitle="Name of the module" prompt="e.g. _x000a_Master Thesis_x000a_Bachelor Thesis _x000a_Mathematics and Analytics_x000a_Projekt 1_x000a_Project T_x000a_Technisches Projekt" sqref="B24" xr:uid="{00000000-0002-0000-0000-000000000000}"/>
    <dataValidation type="list" allowBlank="1" showInputMessage="1" showErrorMessage="1" promptTitle="Study Course" prompt="Choose your Study Course" sqref="B17" xr:uid="{00000000-0002-0000-0000-000001000000}">
      <formula1>"Technical Management, Business Intelligen ans Data Analytics,Maschinenbau,Indin,IBS,Maschinenbau und Design,Maschinenbau und Design im Praxisverbund,Engineering Physics,other"</formula1>
    </dataValidation>
  </dataValidations>
  <hyperlinks>
    <hyperlink ref="E15" r:id="rId1" xr:uid="{E5C8CC02-7E67-4566-A7AC-4593A3E6AF13}"/>
    <hyperlink ref="E14" r:id="rId2" xr:uid="{43E574A4-A03C-4924-9EF7-BBFA06DE7EF0}"/>
    <hyperlink ref="E13" r:id="rId3" xr:uid="{ED336979-0720-42D4-889E-3DEB68547DB0}"/>
    <hyperlink ref="E12" r:id="rId4" xr:uid="{DA513B8C-07AD-440B-B110-F9FD021C3F00}"/>
    <hyperlink ref="E11" r:id="rId5" xr:uid="{F4519823-0CE1-406B-B52B-930B1BB61E06}"/>
    <hyperlink ref="B4" r:id="rId6" xr:uid="{BDD8EEF6-24D9-4F25-8A48-C293A5A9E830}"/>
  </hyperlinks>
  <pageMargins left="0.7" right="0.7" top="0.78740157499999996" bottom="0.78740157499999996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selection activeCell="B2" sqref="B2"/>
    </sheetView>
  </sheetViews>
  <sheetFormatPr baseColWidth="10" defaultRowHeight="14.25" x14ac:dyDescent="0.45"/>
  <cols>
    <col min="2" max="2" width="35.86328125" bestFit="1" customWidth="1"/>
    <col min="3" max="3" width="22.86328125" bestFit="1" customWidth="1"/>
    <col min="4" max="4" width="11.46484375" style="14"/>
  </cols>
  <sheetData>
    <row r="1" spans="1:4" ht="25.5" x14ac:dyDescent="0.75">
      <c r="A1" s="34" t="s">
        <v>91</v>
      </c>
      <c r="B1" s="34"/>
      <c r="C1" s="34"/>
      <c r="D1" s="34"/>
    </row>
    <row r="2" spans="1:4" x14ac:dyDescent="0.45">
      <c r="A2" s="1"/>
    </row>
    <row r="4" spans="1:4" x14ac:dyDescent="0.45">
      <c r="B4" t="s">
        <v>247</v>
      </c>
      <c r="D4" s="14">
        <v>-1</v>
      </c>
    </row>
    <row r="5" spans="1:4" x14ac:dyDescent="0.45">
      <c r="B5" t="s">
        <v>0</v>
      </c>
      <c r="D5" s="14">
        <v>-1</v>
      </c>
    </row>
    <row r="6" spans="1:4" x14ac:dyDescent="0.45">
      <c r="B6" t="s">
        <v>248</v>
      </c>
      <c r="D6" s="14">
        <v>-0.5</v>
      </c>
    </row>
    <row r="7" spans="1:4" x14ac:dyDescent="0.45">
      <c r="B7" t="s">
        <v>249</v>
      </c>
      <c r="D7" s="14">
        <v>-0.5</v>
      </c>
    </row>
    <row r="8" spans="1:4" x14ac:dyDescent="0.45">
      <c r="B8" t="s">
        <v>250</v>
      </c>
      <c r="D8" s="14">
        <v>-1</v>
      </c>
    </row>
    <row r="9" spans="1:4" x14ac:dyDescent="0.45">
      <c r="B9" t="s">
        <v>251</v>
      </c>
      <c r="D9" s="14">
        <v>-1</v>
      </c>
    </row>
    <row r="10" spans="1:4" x14ac:dyDescent="0.45">
      <c r="B10" t="s">
        <v>252</v>
      </c>
      <c r="D10" s="14">
        <v>-0.5</v>
      </c>
    </row>
    <row r="11" spans="1:4" x14ac:dyDescent="0.45">
      <c r="B11" t="s">
        <v>253</v>
      </c>
      <c r="D11" s="14">
        <v>-0.5</v>
      </c>
    </row>
    <row r="12" spans="1:4" x14ac:dyDescent="0.45">
      <c r="B12" t="s">
        <v>254</v>
      </c>
      <c r="D12" s="14">
        <v>-0.5</v>
      </c>
    </row>
    <row r="13" spans="1:4" x14ac:dyDescent="0.45">
      <c r="B13" t="s">
        <v>255</v>
      </c>
      <c r="D13" s="14">
        <v>-0.5</v>
      </c>
    </row>
    <row r="14" spans="1:4" x14ac:dyDescent="0.45">
      <c r="B14" t="s">
        <v>256</v>
      </c>
      <c r="D14" s="14">
        <v>-1</v>
      </c>
    </row>
    <row r="15" spans="1:4" x14ac:dyDescent="0.45">
      <c r="B15" t="s">
        <v>257</v>
      </c>
      <c r="D15" s="14">
        <v>-0.3</v>
      </c>
    </row>
    <row r="16" spans="1:4" x14ac:dyDescent="0.45">
      <c r="B16" t="s">
        <v>258</v>
      </c>
      <c r="D16" s="14">
        <v>-1</v>
      </c>
    </row>
    <row r="17" spans="1:4" x14ac:dyDescent="0.45">
      <c r="B17" t="s">
        <v>259</v>
      </c>
      <c r="D17" s="14">
        <v>-0.2</v>
      </c>
    </row>
    <row r="18" spans="1:4" x14ac:dyDescent="0.45">
      <c r="B18" t="s">
        <v>260</v>
      </c>
      <c r="D18" s="14">
        <v>-1</v>
      </c>
    </row>
    <row r="22" spans="1:4" x14ac:dyDescent="0.45">
      <c r="A22" t="s">
        <v>0</v>
      </c>
      <c r="B22" t="s">
        <v>11</v>
      </c>
      <c r="C22" t="s">
        <v>12</v>
      </c>
      <c r="D22" s="14">
        <v>-0.25</v>
      </c>
    </row>
    <row r="23" spans="1:4" x14ac:dyDescent="0.45">
      <c r="C23" t="s">
        <v>13</v>
      </c>
      <c r="D23" s="14">
        <v>-0.25</v>
      </c>
    </row>
    <row r="24" spans="1:4" x14ac:dyDescent="0.45">
      <c r="C24" t="s">
        <v>14</v>
      </c>
      <c r="D24" s="14">
        <v>-0.25</v>
      </c>
    </row>
    <row r="25" spans="1:4" x14ac:dyDescent="0.45">
      <c r="B25" t="s">
        <v>15</v>
      </c>
      <c r="C25" t="s">
        <v>16</v>
      </c>
      <c r="D25" s="14">
        <v>-0.25</v>
      </c>
    </row>
    <row r="26" spans="1:4" x14ac:dyDescent="0.45">
      <c r="C26" t="s">
        <v>17</v>
      </c>
      <c r="D26" s="14">
        <v>-0.25</v>
      </c>
    </row>
    <row r="27" spans="1:4" x14ac:dyDescent="0.45">
      <c r="C27" t="s">
        <v>18</v>
      </c>
      <c r="D27" s="14">
        <v>-0.25</v>
      </c>
    </row>
    <row r="28" spans="1:4" x14ac:dyDescent="0.45">
      <c r="C28" t="s">
        <v>19</v>
      </c>
      <c r="D28" s="14">
        <v>-0.25</v>
      </c>
    </row>
    <row r="30" spans="1:4" x14ac:dyDescent="0.45">
      <c r="B30" t="s">
        <v>20</v>
      </c>
    </row>
    <row r="31" spans="1:4" x14ac:dyDescent="0.45">
      <c r="B31" t="s">
        <v>21</v>
      </c>
      <c r="C31" t="s">
        <v>22</v>
      </c>
      <c r="D31" s="14">
        <v>-0.25</v>
      </c>
    </row>
    <row r="32" spans="1:4" x14ac:dyDescent="0.45">
      <c r="C32" t="s">
        <v>23</v>
      </c>
      <c r="D32" s="14">
        <v>-0.25</v>
      </c>
    </row>
    <row r="33" spans="2:4" x14ac:dyDescent="0.45">
      <c r="C33" t="s">
        <v>18</v>
      </c>
      <c r="D33" s="14">
        <v>-0.25</v>
      </c>
    </row>
    <row r="34" spans="2:4" x14ac:dyDescent="0.45">
      <c r="B34" t="s">
        <v>29</v>
      </c>
      <c r="D34" s="14">
        <v>-1</v>
      </c>
    </row>
    <row r="35" spans="2:4" x14ac:dyDescent="0.45">
      <c r="B35" t="s">
        <v>24</v>
      </c>
      <c r="C35" t="s">
        <v>25</v>
      </c>
      <c r="D35" s="14">
        <v>-1</v>
      </c>
    </row>
    <row r="36" spans="2:4" x14ac:dyDescent="0.45">
      <c r="C36" t="s">
        <v>26</v>
      </c>
      <c r="D36" s="14">
        <v>-1</v>
      </c>
    </row>
    <row r="37" spans="2:4" x14ac:dyDescent="0.45">
      <c r="C37" t="s">
        <v>27</v>
      </c>
      <c r="D37" s="14">
        <v>-1</v>
      </c>
    </row>
  </sheetData>
  <mergeCells count="1">
    <mergeCell ref="A1:D1"/>
  </mergeCell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Report</vt:lpstr>
      <vt:lpstr>Formalien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Gruppe 07</dc:creator>
  <cp:lastModifiedBy>Carl Lewis Maschke</cp:lastModifiedBy>
  <dcterms:created xsi:type="dcterms:W3CDTF">2022-07-20T06:43:31Z</dcterms:created>
  <dcterms:modified xsi:type="dcterms:W3CDTF">2025-06-22T21:06:06Z</dcterms:modified>
</cp:coreProperties>
</file>